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Project Ashghal 2026\Reports\Weekly Report\Weekly Report\2026-03-28\"/>
    </mc:Choice>
  </mc:AlternateContent>
  <xr:revisionPtr revIDLastSave="0" documentId="13_ncr:1_{1F193532-FE35-44AB-96FF-0021BBF25846}" xr6:coauthVersionLast="47" xr6:coauthVersionMax="47" xr10:uidLastSave="{00000000-0000-0000-0000-000000000000}"/>
  <bookViews>
    <workbookView xWindow="20370" yWindow="-120" windowWidth="25440" windowHeight="15390" xr2:uid="{00000000-000D-0000-FFFF-FFFF00000000}"/>
  </bookViews>
  <sheets>
    <sheet name="W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7Wum+RDbu61HdCkx7lZzasFVHOhSg3/ZbwZr3YL2NbY="/>
    </ext>
  </extLst>
</workbook>
</file>

<file path=xl/calcChain.xml><?xml version="1.0" encoding="utf-8"?>
<calcChain xmlns="http://schemas.openxmlformats.org/spreadsheetml/2006/main">
  <c r="U110" i="1" l="1"/>
  <c r="T110" i="1"/>
  <c r="Q110" i="1"/>
  <c r="U109" i="1"/>
  <c r="T109" i="1"/>
  <c r="Q109" i="1"/>
  <c r="U108" i="1"/>
  <c r="T108" i="1"/>
  <c r="Q108" i="1"/>
  <c r="U107" i="1"/>
  <c r="T107" i="1"/>
  <c r="Q107" i="1"/>
  <c r="U106" i="1"/>
  <c r="T106" i="1"/>
  <c r="Q106" i="1"/>
  <c r="U105" i="1"/>
  <c r="T105" i="1"/>
  <c r="Q105" i="1"/>
  <c r="U104" i="1"/>
  <c r="T104" i="1"/>
  <c r="Q104" i="1"/>
  <c r="U103" i="1"/>
  <c r="T103" i="1"/>
  <c r="Q103" i="1"/>
  <c r="U102" i="1"/>
  <c r="T102" i="1"/>
  <c r="Q102" i="1"/>
  <c r="U101" i="1"/>
  <c r="T101" i="1"/>
  <c r="Q101" i="1"/>
  <c r="U100" i="1"/>
  <c r="T100" i="1"/>
  <c r="Q100" i="1"/>
  <c r="U99" i="1"/>
  <c r="T99" i="1"/>
  <c r="Q99" i="1"/>
  <c r="U98" i="1"/>
  <c r="T98" i="1"/>
  <c r="Q98" i="1"/>
  <c r="U97" i="1"/>
  <c r="T97" i="1"/>
  <c r="Q97" i="1"/>
  <c r="U96" i="1"/>
  <c r="T96" i="1"/>
  <c r="Q96" i="1"/>
  <c r="U95" i="1"/>
  <c r="T95" i="1"/>
  <c r="Q95" i="1"/>
  <c r="U94" i="1"/>
  <c r="T94" i="1"/>
  <c r="Q94" i="1"/>
  <c r="U93" i="1"/>
  <c r="T93" i="1"/>
  <c r="Q93" i="1"/>
  <c r="U92" i="1"/>
  <c r="T92" i="1"/>
  <c r="Q92" i="1"/>
  <c r="U91" i="1"/>
  <c r="T91" i="1"/>
  <c r="Q91" i="1"/>
  <c r="U90" i="1"/>
  <c r="T90" i="1"/>
  <c r="Q90" i="1"/>
  <c r="U89" i="1"/>
  <c r="T89" i="1"/>
  <c r="Q89" i="1"/>
  <c r="U88" i="1"/>
  <c r="T88" i="1"/>
  <c r="Q88" i="1"/>
  <c r="U87" i="1"/>
  <c r="T87" i="1"/>
  <c r="Q87" i="1"/>
  <c r="U86" i="1"/>
  <c r="T86" i="1"/>
  <c r="Q86" i="1"/>
  <c r="U85" i="1"/>
  <c r="T85" i="1"/>
  <c r="Q85" i="1"/>
  <c r="U84" i="1"/>
  <c r="T84" i="1"/>
  <c r="Q84" i="1"/>
  <c r="U83" i="1"/>
  <c r="T83" i="1"/>
  <c r="Q83" i="1"/>
  <c r="U82" i="1"/>
  <c r="T82" i="1"/>
  <c r="Q82" i="1"/>
  <c r="U81" i="1"/>
  <c r="T81" i="1"/>
  <c r="Q81" i="1"/>
  <c r="U80" i="1"/>
  <c r="T80" i="1"/>
  <c r="Q80" i="1"/>
  <c r="U79" i="1"/>
  <c r="T79" i="1"/>
  <c r="Q79" i="1"/>
  <c r="U78" i="1"/>
  <c r="T78" i="1"/>
  <c r="Q78" i="1"/>
  <c r="U77" i="1"/>
  <c r="T77" i="1"/>
  <c r="Q77" i="1"/>
  <c r="U76" i="1"/>
  <c r="T76" i="1"/>
  <c r="Q76" i="1"/>
  <c r="U75" i="1"/>
  <c r="T75" i="1"/>
  <c r="Q75" i="1"/>
  <c r="U74" i="1"/>
  <c r="T74" i="1"/>
  <c r="Q74" i="1"/>
  <c r="U73" i="1"/>
  <c r="T73" i="1"/>
  <c r="Q73" i="1"/>
  <c r="U72" i="1"/>
  <c r="T72" i="1"/>
  <c r="Q72" i="1"/>
  <c r="U71" i="1"/>
  <c r="T71" i="1"/>
  <c r="Q71" i="1"/>
  <c r="U70" i="1"/>
  <c r="T70" i="1"/>
  <c r="Q70" i="1"/>
  <c r="U69" i="1"/>
  <c r="T69" i="1"/>
  <c r="Q69" i="1"/>
  <c r="U68" i="1"/>
  <c r="T68" i="1"/>
  <c r="Q68" i="1"/>
  <c r="U67" i="1"/>
  <c r="T67" i="1"/>
  <c r="Q67" i="1"/>
  <c r="U66" i="1"/>
  <c r="T66" i="1"/>
  <c r="Q66" i="1"/>
  <c r="U65" i="1"/>
  <c r="T65" i="1"/>
  <c r="Q65" i="1"/>
  <c r="U64" i="1"/>
  <c r="T64" i="1"/>
  <c r="Q64" i="1"/>
  <c r="U63" i="1"/>
  <c r="T63" i="1"/>
  <c r="Q63" i="1"/>
  <c r="U62" i="1"/>
  <c r="T62" i="1"/>
  <c r="Q62" i="1"/>
  <c r="U61" i="1"/>
  <c r="T61" i="1"/>
  <c r="Q61" i="1"/>
  <c r="U60" i="1"/>
  <c r="T60" i="1"/>
  <c r="Q60" i="1"/>
  <c r="U59" i="1"/>
  <c r="T59" i="1"/>
  <c r="Q59" i="1"/>
  <c r="U58" i="1"/>
  <c r="T58" i="1"/>
  <c r="Q58" i="1"/>
  <c r="U57" i="1"/>
  <c r="T57" i="1"/>
  <c r="Q57" i="1"/>
  <c r="U56" i="1"/>
  <c r="T56" i="1"/>
  <c r="Q56" i="1"/>
  <c r="U55" i="1"/>
  <c r="T55" i="1"/>
  <c r="Q55" i="1"/>
  <c r="U54" i="1"/>
  <c r="T54" i="1"/>
  <c r="Q54" i="1"/>
  <c r="U53" i="1"/>
  <c r="T53" i="1"/>
  <c r="Q53" i="1"/>
  <c r="U52" i="1"/>
  <c r="T52" i="1"/>
  <c r="Q52" i="1"/>
  <c r="U51" i="1"/>
  <c r="T51" i="1"/>
  <c r="Q51" i="1"/>
  <c r="U50" i="1"/>
  <c r="T50" i="1"/>
  <c r="Q50" i="1"/>
  <c r="U49" i="1"/>
  <c r="T49" i="1"/>
  <c r="Q49" i="1"/>
  <c r="U48" i="1"/>
  <c r="T48" i="1"/>
  <c r="Q48" i="1"/>
  <c r="U47" i="1"/>
  <c r="T47" i="1"/>
  <c r="Q47" i="1"/>
  <c r="U46" i="1"/>
  <c r="T46" i="1"/>
  <c r="Q46" i="1"/>
  <c r="U45" i="1"/>
  <c r="T45" i="1"/>
  <c r="Q45" i="1"/>
  <c r="U44" i="1"/>
  <c r="T44" i="1"/>
  <c r="Q44" i="1"/>
  <c r="U43" i="1"/>
  <c r="T43" i="1"/>
  <c r="Q43" i="1"/>
  <c r="U42" i="1"/>
  <c r="T42" i="1"/>
  <c r="Q42" i="1"/>
  <c r="U41" i="1"/>
  <c r="T41" i="1"/>
  <c r="Q41" i="1"/>
  <c r="U40" i="1"/>
  <c r="T40" i="1"/>
  <c r="Q40" i="1"/>
  <c r="U39" i="1"/>
  <c r="T39" i="1"/>
  <c r="Q39" i="1"/>
  <c r="U38" i="1"/>
  <c r="T38" i="1"/>
  <c r="Q38" i="1"/>
  <c r="U37" i="1"/>
  <c r="T37" i="1"/>
  <c r="Q37" i="1"/>
  <c r="U36" i="1"/>
  <c r="T36" i="1"/>
  <c r="Q36" i="1"/>
  <c r="U35" i="1"/>
  <c r="T35" i="1"/>
  <c r="Q35" i="1"/>
  <c r="U34" i="1"/>
  <c r="T34" i="1"/>
  <c r="Q34" i="1"/>
  <c r="U33" i="1"/>
  <c r="T33" i="1"/>
  <c r="Q33" i="1"/>
  <c r="U32" i="1"/>
  <c r="T32" i="1"/>
  <c r="Q32" i="1"/>
  <c r="U31" i="1"/>
  <c r="T31" i="1"/>
  <c r="Q31" i="1"/>
  <c r="U30" i="1"/>
  <c r="T30" i="1"/>
  <c r="Q30" i="1"/>
  <c r="U29" i="1"/>
  <c r="T29" i="1"/>
  <c r="Q29" i="1"/>
  <c r="U28" i="1"/>
  <c r="T28" i="1"/>
  <c r="Q28" i="1"/>
  <c r="U27" i="1"/>
  <c r="T27" i="1"/>
  <c r="Q27" i="1"/>
  <c r="U26" i="1"/>
  <c r="T26" i="1"/>
  <c r="Q26" i="1"/>
  <c r="U25" i="1"/>
  <c r="T25" i="1"/>
  <c r="Q25" i="1"/>
  <c r="U24" i="1"/>
  <c r="T24" i="1"/>
  <c r="Q24" i="1"/>
  <c r="U23" i="1"/>
  <c r="T23" i="1"/>
  <c r="Q23" i="1"/>
  <c r="U22" i="1"/>
  <c r="T22" i="1"/>
  <c r="Q22" i="1"/>
  <c r="U21" i="1"/>
  <c r="T21" i="1"/>
  <c r="Q21" i="1"/>
  <c r="U20" i="1"/>
  <c r="T20" i="1"/>
  <c r="Q20" i="1"/>
  <c r="U19" i="1"/>
  <c r="T19" i="1"/>
  <c r="Q19" i="1"/>
  <c r="U18" i="1"/>
  <c r="T18" i="1"/>
  <c r="Q18" i="1"/>
  <c r="U17" i="1"/>
  <c r="T17" i="1"/>
  <c r="Q17" i="1"/>
  <c r="U16" i="1"/>
  <c r="T16" i="1"/>
  <c r="Q16" i="1"/>
  <c r="U15" i="1"/>
  <c r="T15" i="1"/>
  <c r="Q15" i="1"/>
  <c r="U14" i="1"/>
  <c r="T14" i="1"/>
  <c r="Q14" i="1"/>
  <c r="U13" i="1"/>
  <c r="T13" i="1"/>
  <c r="Q13" i="1"/>
  <c r="U12" i="1"/>
  <c r="T12" i="1"/>
  <c r="Q12" i="1"/>
  <c r="U11" i="1"/>
  <c r="T11" i="1"/>
  <c r="Q11" i="1"/>
  <c r="U10" i="1"/>
  <c r="T10" i="1"/>
  <c r="Q10" i="1"/>
  <c r="U9" i="1"/>
  <c r="T9" i="1"/>
  <c r="Q9" i="1"/>
  <c r="U8" i="1"/>
  <c r="T8" i="1"/>
  <c r="Q8" i="1"/>
  <c r="U7" i="1"/>
  <c r="T7" i="1"/>
  <c r="Q7" i="1"/>
  <c r="U6" i="1"/>
  <c r="T6" i="1"/>
  <c r="Q6" i="1"/>
  <c r="U5" i="1"/>
  <c r="T5" i="1"/>
  <c r="Q5" i="1"/>
  <c r="U4" i="1"/>
  <c r="T4" i="1"/>
  <c r="Q4" i="1"/>
  <c r="U3" i="1"/>
  <c r="T3" i="1"/>
  <c r="Q3" i="1"/>
  <c r="U2" i="1"/>
  <c r="T2" i="1"/>
  <c r="Q2" i="1"/>
</calcChain>
</file>

<file path=xl/sharedStrings.xml><?xml version="1.0" encoding="utf-8"?>
<sst xmlns="http://schemas.openxmlformats.org/spreadsheetml/2006/main" count="1968" uniqueCount="518">
  <si>
    <t>SN</t>
  </si>
  <si>
    <t>Ticket No</t>
  </si>
  <si>
    <t>W/O</t>
  </si>
  <si>
    <t>Date</t>
  </si>
  <si>
    <t>NOC WAN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</si>
  <si>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</si>
  <si>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</si>
  <si>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</si>
  <si>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</si>
  <si>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</si>
  <si>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</si>
  <si>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</si>
  <si>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</si>
  <si>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</si>
  <si>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</si>
  <si>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</si>
  <si>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</si>
  <si>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</si>
  <si>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</si>
  <si>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</si>
  <si>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</si>
  <si>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</si>
  <si>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</si>
  <si>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</si>
  <si>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</si>
  <si>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(Fault Attraction) Notes</t>
  </si>
  <si>
    <t>Remarks</t>
  </si>
  <si>
    <t>Field Engineer</t>
  </si>
  <si>
    <t>NA</t>
  </si>
  <si>
    <t>-</t>
  </si>
  <si>
    <t>Node Down</t>
  </si>
  <si>
    <t>Network down</t>
  </si>
  <si>
    <t>FLM visited the site and confirmed that Kahramaa power was not available at the cabinet.</t>
  </si>
  <si>
    <t>P010-ENC61-CE-01</t>
  </si>
  <si>
    <t>Zone 57</t>
  </si>
  <si>
    <t>51.4699752, 25.170097</t>
  </si>
  <si>
    <t>Outside Doha</t>
  </si>
  <si>
    <t>Critical</t>
  </si>
  <si>
    <t xml:space="preserve"> Power was restored by Kahramaa after 5 hours and 17 minutes.Network was up.</t>
  </si>
  <si>
    <t>Completed</t>
  </si>
  <si>
    <t>Non-maintainer</t>
  </si>
  <si>
    <t>3rd Party</t>
  </si>
  <si>
    <t>State Kahramaa</t>
  </si>
  <si>
    <t>Network Back Online</t>
  </si>
  <si>
    <t xml:space="preserve">Link went down </t>
  </si>
  <si>
    <t>SAL-ENC45-CE-01</t>
  </si>
  <si>
    <t>Zone 83</t>
  </si>
  <si>
    <t>51.042739, 25.005944</t>
  </si>
  <si>
    <t>Link restored after 4 mins(Auto) # It is pending from TTG</t>
  </si>
  <si>
    <t>TTG</t>
  </si>
  <si>
    <t>network went down due to system upgrade</t>
  </si>
  <si>
    <t>P008C2-Enc09-CE01</t>
  </si>
  <si>
    <t xml:space="preserve"> Escalated to Salam Tech team (Imran) on phone and rebooted the system</t>
  </si>
  <si>
    <t>Salam Tech</t>
  </si>
  <si>
    <t>Vishnu</t>
  </si>
  <si>
    <t>Device Down</t>
  </si>
  <si>
    <t>Power failure detected at the site</t>
  </si>
  <si>
    <t>Sal-ENC38-CE-01</t>
  </si>
  <si>
    <t>51.1144427, 25.069908</t>
  </si>
  <si>
    <t>The Kahramaa team is currently performing maintenance on the main electrical poles in the area.Expected Completion: Restoration is anticipated by 2:00 PM.</t>
  </si>
  <si>
    <t>Link Down</t>
  </si>
  <si>
    <t>Link restored after 3 mins(Auto) # It is pending from TTG</t>
  </si>
  <si>
    <t>Link restored after 11 mins(Auto) # It is pending from TTG</t>
  </si>
  <si>
    <t>UPS was not giving output</t>
  </si>
  <si>
    <t xml:space="preserve">P010-ENC61–CE-01  </t>
  </si>
  <si>
    <t>Issue resolved after restarting  UPS</t>
  </si>
  <si>
    <t>Maintainer</t>
  </si>
  <si>
    <t>N/a</t>
  </si>
  <si>
    <t>Noticed no power on Main breakers/Terminals</t>
  </si>
  <si>
    <t>P023C1-ENC01–CE -01</t>
  </si>
  <si>
    <t xml:space="preserve"> Zone 91</t>
  </si>
  <si>
    <t>51.583897, 25.111748</t>
  </si>
  <si>
    <t>Power supply restored by Kahrama staff.KAHRAMAA reference No. 261100005225</t>
  </si>
  <si>
    <t>P023C1-ENC01–UPE -01</t>
  </si>
  <si>
    <t>Salem/Amr</t>
  </si>
  <si>
    <t>MCB was tripped at site</t>
  </si>
  <si>
    <t>SAL-ENC50–CE -01</t>
  </si>
  <si>
    <t>Zone 96</t>
  </si>
  <si>
    <t>50.9993542, 24.9513076</t>
  </si>
  <si>
    <t xml:space="preserve"> team turned on the CB and device restored</t>
  </si>
  <si>
    <t>P008C3-ENC01–CE -01</t>
  </si>
  <si>
    <t>Zone 55</t>
  </si>
  <si>
    <t>51.4801647, 25.2614822</t>
  </si>
  <si>
    <t>P008C3-ENC25–CE -01</t>
  </si>
  <si>
    <t>Zone 56</t>
  </si>
  <si>
    <t>51.50261, 25.2341068</t>
  </si>
  <si>
    <t>P005-ENC410-CE-01</t>
  </si>
  <si>
    <t>51.399465, 25.3102445</t>
  </si>
  <si>
    <t>Team turned on the CB and device restored</t>
  </si>
  <si>
    <t>Link went down and restored after 7 mins(Auto) # It is pending from TTG</t>
  </si>
  <si>
    <t>Link went down and restored after 10 mins(Auto) # It is pending from TTG</t>
  </si>
  <si>
    <t>Link went down and restored after 8 mins(Auto) # It is pending from TTG</t>
  </si>
  <si>
    <t>Link went down and restored after 6 mins(Auto) # It is pending from TTG</t>
  </si>
  <si>
    <t>Vishnu/Amr</t>
  </si>
  <si>
    <t>RJ45 cable was loose from switch to CCTV POE</t>
  </si>
  <si>
    <t>RJ45 cable cleaned and fixed properly</t>
  </si>
  <si>
    <t>SAL-ENC26-CE-01</t>
  </si>
  <si>
    <t>zone 56</t>
  </si>
  <si>
    <t>51.2478413  25.1435454</t>
  </si>
  <si>
    <t>Device Restored(Auto)</t>
  </si>
  <si>
    <t>SAL-ENC20-CE-01,SAL-ENC14-CE-01,SAL-ENC20-UPE-02</t>
  </si>
  <si>
    <t>51.3063942   25.164986</t>
  </si>
  <si>
    <t>Sirti-WAN-R3-Ticket-01</t>
  </si>
  <si>
    <t>FLM visited the site and found no kahramaa power in cabinet as well as FP</t>
  </si>
  <si>
    <t>P028C2-ENC18-CE-01,P028C2-ENC25-CE-01,P028C2-ENC25-UPE-01</t>
  </si>
  <si>
    <t>Zone 18</t>
  </si>
  <si>
    <t>25.28983, 51.51513</t>
  </si>
  <si>
    <t>Inside Doha</t>
  </si>
  <si>
    <t>FLM Team contacted kharamaa and they restored the power</t>
  </si>
  <si>
    <t>Sirti-WAN-R3-Ticket-02</t>
  </si>
  <si>
    <t>Power restored by kharamaa team raised a ticket.Ref No-261100006258</t>
  </si>
  <si>
    <t>Sirti-WAN-R3-Ticket-03</t>
  </si>
  <si>
    <t>Saleem/Amr</t>
  </si>
  <si>
    <t>FLM visited the site and found port 05 down which is connected to LAN access switch</t>
  </si>
  <si>
    <t>22FEB-ENC25-CE-01</t>
  </si>
  <si>
    <t>Zone 34</t>
  </si>
  <si>
    <t>51.47088144, 25.31832397</t>
  </si>
  <si>
    <t>The Alarm was cleared after LAN device came up</t>
  </si>
  <si>
    <t>Sirti-WAN-R3-Ticket-04</t>
  </si>
  <si>
    <t>Amr</t>
  </si>
  <si>
    <t>P010-ENC61-CE-01,P010-ENC64-CE-01</t>
  </si>
  <si>
    <t>51.4699752  25.1700975</t>
  </si>
  <si>
    <t>Sirti-WAN-R3-Ticket-05</t>
  </si>
  <si>
    <t>Vishnu/Haroon</t>
  </si>
  <si>
    <t>No Power Redeundancy</t>
  </si>
  <si>
    <t>Power Module Power off</t>
  </si>
  <si>
    <t>MCB was tripped at SMDB</t>
  </si>
  <si>
    <t>P012-ENC97-UPE-02</t>
  </si>
  <si>
    <t>25.1926322 51.4542203</t>
  </si>
  <si>
    <t>FLM Turned on the CB and device restored</t>
  </si>
  <si>
    <t>Access</t>
  </si>
  <si>
    <t>Got the key from the Tunnel contractor and turned on the CB</t>
  </si>
  <si>
    <t>Sirti-WAN-R3-Ticket-06</t>
  </si>
  <si>
    <t>Aneesh/Abubaker</t>
  </si>
  <si>
    <t>P023C2-ENC16-CE-01 &amp; P023C2-ENC16-UPE-02 unreachable from eSite</t>
  </si>
  <si>
    <t>P023C2-ENC16-CE-01 &amp; P023C2-ENC16-UPE-02</t>
  </si>
  <si>
    <t>Zone 82</t>
  </si>
  <si>
    <t>25.228079 51.307359</t>
  </si>
  <si>
    <t>FLM Turned on the CB and devices restored</t>
  </si>
  <si>
    <t>Sirti-WAN-R3-Ticket-07</t>
  </si>
  <si>
    <t>Mastan/Adil</t>
  </si>
  <si>
    <t>Port Down at CE Connected to Lan 2 Switch</t>
  </si>
  <si>
    <t>SAL-ENC20-CE-01</t>
  </si>
  <si>
    <t>Sirti-WAN-R3-Ticket-08</t>
  </si>
  <si>
    <t>Haroon/Masthan</t>
  </si>
  <si>
    <t xml:space="preserve">Ethernet link down </t>
  </si>
  <si>
    <t xml:space="preserve">Eth link down RMC-P003 &amp;SOC-P003 &amp;P004-SOC PRI due QNBN activity on the link </t>
  </si>
  <si>
    <t xml:space="preserve"> RMC-P003 &amp;SOC-P003 &amp;P004-SOC PRI</t>
  </si>
  <si>
    <t>Activity was finished and link was restored</t>
  </si>
  <si>
    <t xml:space="preserve">QNBN activity on the link </t>
  </si>
  <si>
    <t>Sirti-WAN-R3-Ticket-09</t>
  </si>
  <si>
    <t>AMR / Vishnu</t>
  </si>
  <si>
    <t>P028C2-ENC04-CE-01-OMC LOCAL</t>
  </si>
  <si>
    <t xml:space="preserve">Alarm Auto Cleared before flm visit the site </t>
  </si>
  <si>
    <t>Sirti-WAN-R3-Ticket-10</t>
  </si>
  <si>
    <t>AMR / Erick</t>
  </si>
  <si>
    <t xml:space="preserve">TTG team was working at RMC Datacenter on RMC-ENC-NMS-SW-01 SERVER as a part of snag clearanace </t>
  </si>
  <si>
    <t>RMC-ENC-NMS-SW-01 SERVER</t>
  </si>
  <si>
    <t>Alarm Auto Cleared</t>
  </si>
  <si>
    <t>TTG team was working at RMC Datacenter</t>
  </si>
  <si>
    <t>Sirti-WAN-R3-Ticket-11</t>
  </si>
  <si>
    <t>AMR / Haroon / Erick</t>
  </si>
  <si>
    <t>Port Module Offline</t>
  </si>
  <si>
    <t>One Power Source is Down</t>
  </si>
  <si>
    <t>Power cable loose between DWDM and PDU</t>
  </si>
  <si>
    <t>RAA_SEC</t>
  </si>
  <si>
    <t>Zone 28</t>
  </si>
  <si>
    <t>25.285228, 51.551657</t>
  </si>
  <si>
    <t>FLM Visit the site and found the low voltage and fix the power source</t>
  </si>
  <si>
    <t>Sirti-WAN-R3-Ticket-12</t>
  </si>
  <si>
    <t>HAROON</t>
  </si>
  <si>
    <t>High Temprature</t>
  </si>
  <si>
    <t>LPU Board 2</t>
  </si>
  <si>
    <t>Boards Temprature higher than the upper threshold</t>
  </si>
  <si>
    <t>P060-ENC18-UPE-01</t>
  </si>
  <si>
    <t>Sirti-WAN-R3-Ticket-13</t>
  </si>
  <si>
    <t>Adel / Umair</t>
  </si>
  <si>
    <t>Breaker off from the FP side</t>
  </si>
  <si>
    <t>P023C3-ENC174-UPE02 &amp; P023C3-ENC174-CE 01</t>
  </si>
  <si>
    <t>Zone 94</t>
  </si>
  <si>
    <t>25.01688 51.49047</t>
  </si>
  <si>
    <t>MCB was tripped , FLM  switched on the MCB</t>
  </si>
  <si>
    <t>Sirti-WAN-R3-Ticket-14</t>
  </si>
  <si>
    <t>AMR</t>
  </si>
  <si>
    <t>Communication betweeen NMS and NE is Abnormal</t>
  </si>
  <si>
    <t>DUK-ENC04-CE-01</t>
  </si>
  <si>
    <t>Sirti-WAN-R3-Ticket-15</t>
  </si>
  <si>
    <t>DUK-ENC06-CE-01</t>
  </si>
  <si>
    <t>Sirti-WAN-R3-Ticket-16</t>
  </si>
  <si>
    <t>HAROON\Masthan</t>
  </si>
  <si>
    <t>LPU Board 2 Heatup</t>
  </si>
  <si>
    <t>Zone 70</t>
  </si>
  <si>
    <t>25.388045, 51.488990</t>
  </si>
  <si>
    <t>FLM Visit the site and Turn on the AC Breaker and restore the Cooling</t>
  </si>
  <si>
    <t>Sirti-WAN-R3-Ticket-17</t>
  </si>
  <si>
    <t>Device Down / Link Down</t>
  </si>
  <si>
    <t>There was no power supply in main terminals of DGME-23</t>
  </si>
  <si>
    <t>P059-C1-ENC23-CE-01
P059-C1-ENC23-UPE-02
P059-C1-ENC04-UPE-01
P059-C1-ENC42-CE-01</t>
  </si>
  <si>
    <t>Zone 71</t>
  </si>
  <si>
    <t>25.451633, 51.409080</t>
  </si>
  <si>
    <t>Switched the Circuit from Primary to Secondary in ATS at Feeder side(ITS FP-16)</t>
  </si>
  <si>
    <t>Sirti-WAN-R3-Ticket-18</t>
  </si>
  <si>
    <t>Other Ashghal Contractor (ITS Qatar) was doing the maintenance for PTZ Camera)-On NMS port down GE1/0/15 -Huawei Switch</t>
  </si>
  <si>
    <t>DUK-ENC12-CE-01</t>
  </si>
  <si>
    <t>Zone 80</t>
  </si>
  <si>
    <t>25.430216, 51.149749</t>
  </si>
  <si>
    <t>FME arrived at the site and found that ITS Qatar was performing maintenance on the PTZ camera. After the maintenance was completed, the alarm was cleared-Verified the ports in Huawei Switch, all were working well</t>
  </si>
  <si>
    <t xml:space="preserve"> ITS Qatar was performing maintenance</t>
  </si>
  <si>
    <t>Sirti-WAN-R3-Ticket-19</t>
  </si>
  <si>
    <t>NA  -On NMS port down GE1/0/15 -Huawei Switch</t>
  </si>
  <si>
    <t>FME arrived Verified the ports in Huawei Switch, all were working well- Link went down and restored after 22 min 49 sec</t>
  </si>
  <si>
    <t>Sirti-WAN-R3-Ticket-20</t>
  </si>
  <si>
    <t>NA  -On NMS port down GE1/0/9 -Huawei Switch</t>
  </si>
  <si>
    <t>DUK-ENC16-CE-01</t>
  </si>
  <si>
    <t>25.432295, 51.110656</t>
  </si>
  <si>
    <t xml:space="preserve">FME arrived Verified the ports in Huawei Switch, all were working well- Link went down and restored </t>
  </si>
  <si>
    <t>Sirti-WAN-R3-Ticket-21</t>
  </si>
  <si>
    <t>NA  -On NMS port down GE1/0/10 -Huawei Switch</t>
  </si>
  <si>
    <t>SAL-ENC50-CE-01</t>
  </si>
  <si>
    <t>24.951308, 50.999354</t>
  </si>
  <si>
    <t>Sirti-WAN-R3-Ticket-22</t>
  </si>
  <si>
    <t xml:space="preserve">Issue Esclated to Imran (SALAM TECH)  by call and whats app messages </t>
  </si>
  <si>
    <t>P008-C3-ENC19-CE-01
P008-C3-ENC09-CE-01
P008-C3-ENC05-CE-01
P008-C3-ENC07-CE-01
P008-C3-ENC04-CE-01
P008-C3-ENC01-CE-01</t>
  </si>
  <si>
    <t xml:space="preserve">Issue Esclated to Imran (SALAM TECH)  by call and whats app messages - All alarms got cleared </t>
  </si>
  <si>
    <t>Sirti-WAN-R3-Ticket-23</t>
  </si>
  <si>
    <t>HAROON / Patric</t>
  </si>
  <si>
    <t>Heat Alarm</t>
  </si>
  <si>
    <t xml:space="preserve"> SFP Interface Heat Alarm</t>
  </si>
  <si>
    <t>Optical Module temp too high</t>
  </si>
  <si>
    <t>P010-ENC01-CE-01</t>
  </si>
  <si>
    <t>Zone 81</t>
  </si>
  <si>
    <t>25.139881, 51.407393</t>
  </si>
  <si>
    <t xml:space="preserve">Alarm is about SFP interface heatup overall device stats are normal, no Service Effected.alarms got cleared </t>
  </si>
  <si>
    <t>Sirti-WAN-R3-Ticket-24</t>
  </si>
  <si>
    <t>SAL-ENC67-CE-01</t>
  </si>
  <si>
    <t>Link went down and restored Auto</t>
  </si>
  <si>
    <t>Sirti-WAN-R3-Ticket-25</t>
  </si>
  <si>
    <t>DUK-ENC34-CE-01</t>
  </si>
  <si>
    <t>Zone 72</t>
  </si>
  <si>
    <t xml:space="preserve">  25.4537767 50.8835078  </t>
  </si>
  <si>
    <t xml:space="preserve">Issue esclated to RMC team and they have update Team is doing PM for End device </t>
  </si>
  <si>
    <t xml:space="preserve">RMC </t>
  </si>
  <si>
    <t>Sirti-WAN-R3-Ticket-26</t>
  </si>
  <si>
    <t>PWR Module Stopped Working</t>
  </si>
  <si>
    <t xml:space="preserve">PDU Was OFF </t>
  </si>
  <si>
    <t>RAA-TCR-USG-02 / DWDM RAA_SEC</t>
  </si>
  <si>
    <t>25.28522778 51.55165688</t>
  </si>
  <si>
    <t>Sirti-WAN-R3-Ticket-27</t>
  </si>
  <si>
    <t>ASH_WDM_RAA-P015-OSC_Protection
ASH_WDM_RAA-P012-OSC_Protection
ASH_WDM_SOC-P012-OCH-CH-54_Protection_L
ASH_WDM_RMC-P012-OCH-CH-56_Protection_L
ASH_WDM_SOC-P015-OCH-CH-58_Protection_S
ASH_WDM_RMC-P015-OCH-CH-60_Protection_L</t>
  </si>
  <si>
    <t>RAA_Sec Subrack 2  was down due to power issue</t>
  </si>
  <si>
    <t>PWR cable at PDU side was loose</t>
  </si>
  <si>
    <t>DWDM RAA_SEC</t>
  </si>
  <si>
    <t xml:space="preserve">FLM fixed the loose power cable connection by cable tie /to be plan for PDU replacement </t>
  </si>
  <si>
    <t>Sirti-WAN-R3-Ticket-28</t>
  </si>
  <si>
    <t>Abubaker</t>
  </si>
  <si>
    <t>Power Module Powered off</t>
  </si>
  <si>
    <t>khahromaa power shutdown</t>
  </si>
  <si>
    <t>- P004-TMC-NPE-01
- P004_Pri
- P004_Sec</t>
  </si>
  <si>
    <t>25.319385,51.352255</t>
  </si>
  <si>
    <t>Main Power was down due to power outage from KAHRAMAA side,
Alarms cleared after KAHRAMAA power recovered by KAHRAMAA team</t>
  </si>
  <si>
    <t>Sirti-WAN-R3-Ticket-29</t>
  </si>
  <si>
    <t xml:space="preserve">Team found no PWR at ENC / FP CB was tripped </t>
  </si>
  <si>
    <t>P004-ENC43-UPE-02  P004-ENC43-CE-01 P023C2-ENC43-CE-01</t>
  </si>
  <si>
    <t>The FME team reached the site and found that there was no power in the ENC cabinet. Upon checking the FP cabinet, they found that the main circuit breaker (CB) was in the OFF (tripped) state. The CB was switched ON, after which all devices were restored and the alarms were cleared</t>
  </si>
  <si>
    <t>Sirti-WAN-R3-Ticket-30</t>
  </si>
  <si>
    <t>Adel</t>
  </si>
  <si>
    <t>Team found no output power from UPS</t>
  </si>
  <si>
    <t>25.1700975° ,51.4699752°</t>
  </si>
  <si>
    <t>there was no UPS output power , FLM Turned on the UPS</t>
  </si>
  <si>
    <t>Sirti-WAN-R3-Ticket-31</t>
  </si>
  <si>
    <t>power module stopped working , power fail</t>
  </si>
  <si>
    <t>power fail</t>
  </si>
  <si>
    <t>alarm is auto clear before visiting the site</t>
  </si>
  <si>
    <t>P004-TMC-NPE-01
P004-sec
P004-pri</t>
  </si>
  <si>
    <t>25.319385 ,51.352255</t>
  </si>
  <si>
    <t>Sirti-WAN-R3-Ticket-32</t>
  </si>
  <si>
    <t>Sirti-WAN-R3-Ticket-33</t>
  </si>
  <si>
    <t>there was no UPS output power , FLM Turned on the UPS, disconnected the AC from the UPS</t>
  </si>
  <si>
    <t>Sirti-WAN-R3-Ticket-34</t>
  </si>
  <si>
    <t>Alarm is auto clear before visiting the site</t>
  </si>
  <si>
    <t>Sirti-WAN-R3-Ticket-35</t>
  </si>
  <si>
    <t xml:space="preserve"> tripped CB</t>
  </si>
  <si>
    <t>P029C2-ENC05-CE-01</t>
  </si>
  <si>
    <t>25.281278° ,51.503972°</t>
  </si>
  <si>
    <t>Inside  Doha</t>
  </si>
  <si>
    <t>FLM switched on tripped CB</t>
  </si>
  <si>
    <t>Sirti-WAN-R3-Ticket-36</t>
  </si>
  <si>
    <t>SAL-ENC63-CE-01</t>
  </si>
  <si>
    <t>24.8301249° ,50.8705931°</t>
  </si>
  <si>
    <t>Sirti-WAN-R3-Ticket-37</t>
  </si>
  <si>
    <t>Aaqib</t>
  </si>
  <si>
    <t>VRRP switchover performed</t>
  </si>
  <si>
    <t xml:space="preserve">Alarm auto cleared. Suspecting link fluctuation </t>
  </si>
  <si>
    <t>P023C2-Enc11-CE-01</t>
  </si>
  <si>
    <t>25.325262° , 51.329176°</t>
  </si>
  <si>
    <t>Alarm auto cleared</t>
  </si>
  <si>
    <t>Sirti-WAN-R3-Ticket-38</t>
  </si>
  <si>
    <t>FLM disconnected the AC from UPS and connected it directly to CB</t>
  </si>
  <si>
    <t>Sirti-WAN-R3-Ticket-39</t>
  </si>
  <si>
    <t>No power in cabinet</t>
  </si>
  <si>
    <t>FLM disconnected the AC from UPS and connected it directly to CB , team is monitoring the UPS behavior after the action</t>
  </si>
  <si>
    <t>Sirti-WAN-R3-Ticket-40</t>
  </si>
  <si>
    <t>DEVICE DOWN DUE TO UPS FAULTY</t>
  </si>
  <si>
    <t xml:space="preserve">UPS FAULTY need to replace .for now remove the UPS connetion temporary now we directly connect the device </t>
  </si>
  <si>
    <t>Sirti-WAN-R3-Ticket-41</t>
  </si>
  <si>
    <t>SAL-ENC56-CE-01</t>
  </si>
  <si>
    <t>24.891173, 50.938318</t>
  </si>
  <si>
    <t>Sirti-WAN-R3-Ticket-42</t>
  </si>
  <si>
    <t>Cable Loose</t>
  </si>
  <si>
    <t>P008C2-ENC01-CE-01</t>
  </si>
  <si>
    <t>25.236901, 51.521726</t>
  </si>
  <si>
    <t xml:space="preserve">FME clean the cable and fix it properly </t>
  </si>
  <si>
    <t>Sirti-WAN-R3-Ticket-43</t>
  </si>
  <si>
    <t>Devices Down</t>
  </si>
  <si>
    <t>As per Logs, there was power interruption at site</t>
  </si>
  <si>
    <t>P011-Enc26-UPE-01
P011-Enc26-CE-01</t>
  </si>
  <si>
    <t>25.22234, 51.542</t>
  </si>
  <si>
    <t>As per Logs, there was power interruption at site. Device auto restored</t>
  </si>
  <si>
    <t>Devices Back Online</t>
  </si>
  <si>
    <t>Sirti-WAN-R3-Ticket-44</t>
  </si>
  <si>
    <t xml:space="preserve">Team found no power at the cabinet </t>
  </si>
  <si>
    <t>SAL-ENC14-CE-01</t>
  </si>
  <si>
    <t>25.1858801° 
51.3628538°</t>
  </si>
  <si>
    <t>The Kahramaa team was working at FP. Once they completed their work and cable termination, power was restored, all devices came up, and all alarms were cleared.</t>
  </si>
  <si>
    <t>Sirti-WAN-R3-Ticket-45</t>
  </si>
  <si>
    <t>P006-ENC02-CE-01</t>
  </si>
  <si>
    <t>25.2190399°
51.4369501°</t>
  </si>
  <si>
    <t>Sirti-WAN-R3-Ticket-46</t>
  </si>
  <si>
    <t>Optical Model temperature too high</t>
  </si>
  <si>
    <t>SFP Alarm</t>
  </si>
  <si>
    <t>Alarm cleared automatically by itself after 1h &amp; 11mins</t>
  </si>
  <si>
    <t>25.1398815,
51.4073931</t>
  </si>
  <si>
    <t>Sirti-WAN-R3-Ticket-47</t>
  </si>
  <si>
    <t>Sanket</t>
  </si>
  <si>
    <t>Team found no power at the cabinet due to the failure of SLFP cabient which is uder RF001</t>
  </si>
  <si>
    <t>P003-ENC10-CE-DGME-01</t>
  </si>
  <si>
    <t>25.3735283  
51.5285481</t>
  </si>
  <si>
    <t>Sirti MENAA has communicated RMC to  request RF001 to fix SLFP Panel, after they rectify the panel, the power back to ITS-FP and all nodes back online</t>
  </si>
  <si>
    <t xml:space="preserve"> RF001</t>
  </si>
  <si>
    <t>Sirti-WAN-R3-Ticket-48</t>
  </si>
  <si>
    <t>Aaqib/Sanket</t>
  </si>
  <si>
    <t>P003-Enc10-CE-DGME-01</t>
  </si>
  <si>
    <t>Sirti-WAN-R3-Ticket-49</t>
  </si>
  <si>
    <t>Link down</t>
  </si>
  <si>
    <t>Link down towards LAN</t>
  </si>
  <si>
    <t>Sal-Enc45-CE-01</t>
  </si>
  <si>
    <t>Low</t>
  </si>
  <si>
    <t>Link auto restored</t>
  </si>
  <si>
    <t>Sirti-WAN-R3-Ticket-50</t>
  </si>
  <si>
    <t>LAN Link down</t>
  </si>
  <si>
    <t>Sirti-WAN-R3-Ticket-51</t>
  </si>
  <si>
    <t>Team found no power at the cabinet.</t>
  </si>
  <si>
    <t>Temperory generator removed and supply given from Kharamaa.</t>
  </si>
  <si>
    <t>Sirti-WAN-R3-Ticket-52</t>
  </si>
  <si>
    <t>Link auto restored. The link is down towards LAN</t>
  </si>
  <si>
    <t>Sirti-WAN-R3-Ticket-53</t>
  </si>
  <si>
    <t>Sanket/Adel</t>
  </si>
  <si>
    <t>There was no power on the outgoing-1 of the PSU</t>
  </si>
  <si>
    <t>P003-ENC37-CE-DGME-01</t>
  </si>
  <si>
    <t>25.3364931°
51.51767°</t>
  </si>
  <si>
    <t>We checked outgoing-2, and it's found sufficient, we connect the switch to outgoing-2 of PSU</t>
  </si>
  <si>
    <t>Sirti-WAN-R3-Ticket-54</t>
  </si>
  <si>
    <t>Device Restored before team visit</t>
  </si>
  <si>
    <t>IE-5000-1003.ASHGAL</t>
  </si>
  <si>
    <t>that switch is LAN switch managed by WAN NMS , team doesnot have the location of the switch and that escalated to 3rd party , at time 5:38 am the devices come back online without visiting</t>
  </si>
  <si>
    <t>Environmental</t>
  </si>
  <si>
    <t>Rain Event</t>
  </si>
  <si>
    <t>Sirti-WAN-R3-Ticket-55</t>
  </si>
  <si>
    <t>Team found MCB was tripped</t>
  </si>
  <si>
    <t>P017C2-ENC23-CE01</t>
  </si>
  <si>
    <t>25.1702778° 
51.4710278°</t>
  </si>
  <si>
    <t xml:space="preserve">FLM switched on cabinet main CB , tripped due to rain </t>
  </si>
  <si>
    <t>Sirti-WAN-R3-Ticket-56</t>
  </si>
  <si>
    <t xml:space="preserve">Team found no kharama power on site. </t>
  </si>
  <si>
    <t>DUK-ENC30-CE01</t>
  </si>
  <si>
    <t>25.4637854° 
 50.930279°</t>
  </si>
  <si>
    <t>FLM visit the site and found that no kharama power on site. 
Ticket (Ref # 261100010894) is raised with kahrama. Device restored after kahahrama
 power restoration</t>
  </si>
  <si>
    <t>Sirti-WAN-R3-Ticket-57</t>
  </si>
  <si>
    <t xml:space="preserve">cabinet main CB is off </t>
  </si>
  <si>
    <t xml:space="preserve"> 25.2369009° 
 51.521726°</t>
  </si>
  <si>
    <t>Sirti-WAN-R3-Ticket-58</t>
  </si>
  <si>
    <t xml:space="preserve">Main UPS CB is tripped </t>
  </si>
  <si>
    <t>P007C2-ENC82-CE-01</t>
  </si>
  <si>
    <t>25.3045066°
51.4548113°</t>
  </si>
  <si>
    <t xml:space="preserve">FLM switched on main UPS CB </t>
  </si>
  <si>
    <t>Sirti-WAN-R3-Ticket-59</t>
  </si>
  <si>
    <t xml:space="preserve">Power Module stopped working </t>
  </si>
  <si>
    <t>Team found the CB powering up Source B is faulty</t>
  </si>
  <si>
    <t>P015-ENC19A-CE-01</t>
  </si>
  <si>
    <t>25.1328013° 
51.5759416°</t>
  </si>
  <si>
    <t>The main CB has been replaced</t>
  </si>
  <si>
    <t>Sirti-WAN-R3-Ticket-60</t>
  </si>
  <si>
    <t>Team found that CB was tripped</t>
  </si>
  <si>
    <t>P007C2-ENC99-UPE02
P007C2-ENC99-CE01</t>
  </si>
  <si>
    <t>25.2967109°
51.4488814°</t>
  </si>
  <si>
    <t>FLM visit the site and was found that CB was tripped. Devices restored after 
turning ON CB</t>
  </si>
  <si>
    <t>Sirti-WAN-R3-Ticket-61</t>
  </si>
  <si>
    <t>Khahrama Outage</t>
  </si>
  <si>
    <t>CRR-ENC02-CE-01</t>
  </si>
  <si>
    <t>25.2834083°, 
51.5496912°</t>
  </si>
  <si>
    <t>As per log, there was khahrama interruption at site.</t>
  </si>
  <si>
    <t>Sirti-WAN-R3-Ticket-62</t>
  </si>
  <si>
    <t>port error disable GE 1/13</t>
  </si>
  <si>
    <t>P042-ENC08-CE-01</t>
  </si>
  <si>
    <t>The port is in error disable. After shut and unshut the port link became normal.
 The link is down towards LAN</t>
  </si>
  <si>
    <t>Sirti-WAN-R3-Ticket-63</t>
  </si>
  <si>
    <t>The link is down towards the LAN ( D-NODE-28 is down)</t>
  </si>
  <si>
    <t>25°27'16.48 
50°57'15.07</t>
  </si>
  <si>
    <t>Medium</t>
  </si>
  <si>
    <t>As per LAN team, D-Node 28 is down and No Kharamaa power available in the cabinet.</t>
  </si>
  <si>
    <t>Sirti-WAN-R3-Ticket-64</t>
  </si>
  <si>
    <t>SAL-ENC32-CE-01</t>
  </si>
  <si>
    <t>25.1165799° 
51.1812367°</t>
  </si>
  <si>
    <t>Sirti-WAN-R3-Ticket-65</t>
  </si>
  <si>
    <t>IE5000-2302</t>
  </si>
  <si>
    <t>Sirti-WAN-R3-Ticket-66</t>
  </si>
  <si>
    <t>No power in 1 phase of Khahrama</t>
  </si>
  <si>
    <t>SAL-ENC09-CE-01</t>
  </si>
  <si>
    <t>25.2039088° 
51.3945681°</t>
  </si>
  <si>
    <t>- The node was down due to unavailability of the power in 2 phases.
- KAHRAMAA Service Request raised.
- As a WA, the node connected to the phase line having power.</t>
  </si>
  <si>
    <t>Sirti-WAN-R3-Ticket-67</t>
  </si>
  <si>
    <t>24.9513076° 
50.9993542°</t>
  </si>
  <si>
    <t>FLM visit the site and found MCB at FP was tripped. Device restored after switching ON MCB at FP.</t>
  </si>
  <si>
    <t>Sirti-WAN-R3-Ticket-68</t>
  </si>
  <si>
    <t>Sirti-WAN-R3-Ticket-69</t>
  </si>
  <si>
    <t>P007C7P1-ENC01-CE-01</t>
  </si>
  <si>
    <t>25.339487°
51.4610983°</t>
  </si>
  <si>
    <t>As per Slam Tech team, CB was tripped. Devices restored after 
turning ON CB</t>
  </si>
  <si>
    <t>Sirti-WAN-R3-Ticket-70</t>
  </si>
  <si>
    <t>25.3954062°
51.1985851°</t>
  </si>
  <si>
    <t>Sirti-WAN-R3-Ticket-71</t>
  </si>
  <si>
    <t>The cable toward the CCTV is disconnected (GE 1/0/10)</t>
  </si>
  <si>
    <t>24.9513076, 
50.9993542</t>
  </si>
  <si>
    <t>3rd Party ccntractor ITSQ change the RJ45 connector at POE end and Port is up</t>
  </si>
  <si>
    <t>3rd Party ccntractor</t>
  </si>
  <si>
    <t>Port is up and alarm cleared</t>
  </si>
  <si>
    <t>Khadar basha syed</t>
  </si>
  <si>
    <t>Sirti-WAN-R3-Ticket-72</t>
  </si>
  <si>
    <t>RJ45 Connector was found faulty</t>
  </si>
  <si>
    <t>Auto clear before team visit</t>
  </si>
  <si>
    <t>Sirti-WAN-R3-Ticket-73</t>
  </si>
  <si>
    <t>Short Circuit in 3 Phase khahrama connection</t>
  </si>
  <si>
    <t>25.4322949°
51.1106559°</t>
  </si>
  <si>
    <t>The cabinet power issue was caused by a short circuit between R/Y/B phases and Neutral in the power cable of Khahrama</t>
  </si>
  <si>
    <t>Umair Rahman</t>
  </si>
  <si>
    <t>Sirti-WAN-R3-Ticket-74</t>
  </si>
  <si>
    <t>CB was found faulty</t>
  </si>
  <si>
    <t>25.2039088° 
51.3945681°</t>
  </si>
  <si>
    <t>Device was down due to faulty CB. Team change CB connection with spare CB and device restored</t>
  </si>
  <si>
    <t>Kwadwo Ofosu</t>
  </si>
  <si>
    <t>Sirti-WAN-R3-Ticket-75</t>
  </si>
  <si>
    <t>During PPM activity / AC compressor faulty when the team make AC CB ON - the main CB went OFF</t>
  </si>
  <si>
    <t>25.281278
51.503972</t>
  </si>
  <si>
    <t xml:space="preserve">During PPM activity / AC compressor faulty when the team make AC CB ON - the main CB went OFF /team make CB ON and all alarms got cleared </t>
  </si>
  <si>
    <t>Hecham</t>
  </si>
  <si>
    <t>Sirti-WAN-R3-Ticket-76</t>
  </si>
  <si>
    <t>P059C1-N2-ENC19-CE-01</t>
  </si>
  <si>
    <t>25.43425476°
51.412436°</t>
  </si>
  <si>
    <t>Sirti-WAN-R3-Ticket-77</t>
  </si>
  <si>
    <t>IE5000-1003.ashghal</t>
  </si>
  <si>
    <t>25.30462
51.51743</t>
  </si>
  <si>
    <t>Sirti-WAN-R3-Ticket-78</t>
  </si>
  <si>
    <t>QBC team is working at FP</t>
  </si>
  <si>
    <t>SAL-ENC20-CE-01
SAL-ENC20-UPE-02</t>
  </si>
  <si>
    <t>25.164986° 
51.3063942</t>
  </si>
  <si>
    <t>QBC team is working at Fidder Piller</t>
  </si>
  <si>
    <t>Patric</t>
  </si>
  <si>
    <t>Sirti-WAN-R3-Ticket-79</t>
  </si>
  <si>
    <t xml:space="preserve">Sub Main CB breaker tripping along with AC CB Due to AC Defect </t>
  </si>
  <si>
    <t>Sub Main CB breaker Restored</t>
  </si>
  <si>
    <t>Hichem</t>
  </si>
  <si>
    <t>Sirti-WAN-R3-Ticket-80</t>
  </si>
  <si>
    <t>Sub Main CB breaker tripping along with AC CB due to AC defect  during PPM</t>
  </si>
  <si>
    <t>Change AC Capacitor and deep cleaning of all AC components</t>
  </si>
  <si>
    <t>Sirti-WAN-R3-Ticket-81</t>
  </si>
  <si>
    <t>25.1435454°
51.2478413°</t>
  </si>
  <si>
    <t>Sirti-WAN-R3-Ticket-82</t>
  </si>
  <si>
    <t xml:space="preserve">FLM found no power inside cabinet </t>
  </si>
  <si>
    <t>DUK-ENC24-CE-01</t>
  </si>
  <si>
    <t>25.435778°
51.0066732°</t>
  </si>
  <si>
    <t xml:space="preserve">FLM switched on main CB that was tripped </t>
  </si>
  <si>
    <t>sanjeewa</t>
  </si>
  <si>
    <t>Sirti-WAN-R3-Ticket-83</t>
  </si>
  <si>
    <t xml:space="preserve">No Khahroma power at cabenit </t>
  </si>
  <si>
    <t>DUK-ENC20-CE-01</t>
  </si>
  <si>
    <t>25.427405°
51.0546006°</t>
  </si>
  <si>
    <t>Esclated to KAHRAMAA &amp; power was restored, all devices came up</t>
  </si>
  <si>
    <t>Environmental &amp; 3rd Party</t>
  </si>
  <si>
    <t>Rain Event &amp; State Kahramaa</t>
  </si>
  <si>
    <t>Sirti-WAN-R3-Ticket-84</t>
  </si>
  <si>
    <t xml:space="preserve">main Cabinet CB was tripped </t>
  </si>
  <si>
    <t>P060-ENC18-CE-GME-01</t>
  </si>
  <si>
    <t>25.4042479° 
51.4923233°</t>
  </si>
  <si>
    <t>najeeb</t>
  </si>
  <si>
    <t>Sirti-WAN-R3-Ticket-85</t>
  </si>
  <si>
    <t xml:space="preserve">no power at cabinet </t>
  </si>
  <si>
    <t xml:space="preserve">24.9513076° 
50.9993542° </t>
  </si>
  <si>
    <t xml:space="preserve">FLM switched on main CB at feeder pillar </t>
  </si>
  <si>
    <t xml:space="preserve">hassan </t>
  </si>
  <si>
    <t>Sirti-WAN-R3-Ticket-86</t>
  </si>
  <si>
    <t xml:space="preserve">no power inside cabinet </t>
  </si>
  <si>
    <t>25.005944° 
51.042739°</t>
  </si>
  <si>
    <t>Sirti-WAN-R3-Ticket-87</t>
  </si>
  <si>
    <t>LAN device down</t>
  </si>
  <si>
    <t>No KAHRAMAA Power at the LAN device</t>
  </si>
  <si>
    <t>24.7761642° 
50.8665552°</t>
  </si>
  <si>
    <t>Esclated to KAHRAMAA  &amp; power was restored, all devices came up</t>
  </si>
  <si>
    <t>Sirti-WAN-R3-Ticket-88</t>
  </si>
  <si>
    <t>P029C1-ENC02-CE-01</t>
  </si>
  <si>
    <t>25.2779777°
51.4661648</t>
  </si>
  <si>
    <t xml:space="preserve">FLM switched on main CB at feeder pillar &amp; bypass the UPS as it is tripping the FB CB </t>
  </si>
  <si>
    <t>aneesh</t>
  </si>
  <si>
    <t>Sirti-WAN-R3-Ticket-89</t>
  </si>
  <si>
    <t xml:space="preserve">farwarding Engine fail </t>
  </si>
  <si>
    <t xml:space="preserve">device hardware fault </t>
  </si>
  <si>
    <t>Everything looks normal on site</t>
  </si>
  <si>
    <t>Performed a hardware reboot for the device</t>
  </si>
  <si>
    <t>Alarm Cleared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</si>
</sst>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dd/mm/yy\ hh:mm"/>
    <numFmt numFmtId="166" formatCode="m/d/yyyy\ h:mm:ss"/>
    <numFmt numFmtId="167" formatCode="mm/dd/yyyy\ h:mm:ss"/>
  </numFmts>
  <fonts count="7" x14ac:knownFonts="1">
    <font>
      <sz val="10"/>
      <color rgb="FF000000"/>
      <name val="Arial"/>
      <scheme val="minor"/>
    </font>
    <font>
      <b/>
      <sz val="12"/>
      <color rgb="FFFFFFFF"/>
      <name val="Arial"/>
    </font>
    <font>
      <sz val="12"/>
      <color rgb="FFFFFFFF"/>
      <name val="Arial"/>
    </font>
    <font>
      <sz val="12"/>
      <color theme="0"/>
      <name val="Arial"/>
    </font>
    <font>
      <sz val="11"/>
      <color theme="1"/>
      <name val="Arial"/>
    </font>
    <font>
      <sz val="11"/>
      <color rgb="FF000000"/>
      <name val="Arial"/>
    </font>
    <font>
      <sz val="11"/>
      <color theme="1"/>
      <name val="Arial"/>
      <scheme val="minor"/>
    </font>
  </fonts>
  <fills count="6">
    <fill>
      <patternFill patternType="none"/>
    </fill>
    <fill>
      <patternFill patternType="gray125"/>
    </fill>
    <fill>
      <patternFill patternType="solid">
        <fgColor theme="4"/>
        <bgColor theme="4"/>
      </patternFill>
    </fill>
    <fill>
      <patternFill patternType="solid">
        <fgColor rgb="FF277E3E"/>
        <bgColor rgb="FF277E3E"/>
      </patternFill>
    </fill>
    <fill>
      <patternFill patternType="solid">
        <fgColor rgb="FF00B050"/>
        <bgColor rgb="FF00B05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2" borderId="3" xfId="0" applyFont="1" applyFill="1" applyBorder="1" applyAlignment="1">
      <alignment horizontal="center" vertical="center"/>
    </xf>
    <xf numFmtId="0" fontId="4" fillId="0" borderId="3" xfId="0" applyFont="1" applyBorder="1" applyAlignment="1">
      <alignment horizontal="center" vertical="center"/>
    </xf>
    <xf numFmtId="164" fontId="4" fillId="0" borderId="3" xfId="0" applyNumberFormat="1" applyFont="1" applyBorder="1" applyAlignment="1">
      <alignment horizontal="center" vertical="center"/>
    </xf>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0" borderId="3" xfId="0" applyFont="1" applyBorder="1" applyAlignment="1">
      <alignment horizontal="center" vertical="center" wrapText="1"/>
    </xf>
    <xf numFmtId="165" fontId="4" fillId="0" borderId="3" xfId="0" applyNumberFormat="1" applyFont="1" applyBorder="1" applyAlignment="1">
      <alignment horizontal="center" vertical="center" wrapText="1"/>
    </xf>
    <xf numFmtId="1" fontId="4" fillId="0" borderId="3" xfId="0" applyNumberFormat="1" applyFont="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wrapText="1"/>
    </xf>
    <xf numFmtId="166" fontId="4" fillId="0" borderId="3" xfId="0" applyNumberFormat="1" applyFont="1" applyBorder="1" applyAlignment="1">
      <alignment horizontal="center" vertical="center" wrapText="1"/>
    </xf>
    <xf numFmtId="166" fontId="4" fillId="0" borderId="3" xfId="0" applyNumberFormat="1" applyFont="1" applyBorder="1" applyAlignment="1">
      <alignment horizontal="center" vertical="center"/>
    </xf>
    <xf numFmtId="0" fontId="4" fillId="0" borderId="0" xfId="0" applyFont="1" applyAlignment="1">
      <alignment horizontal="center" vertical="center"/>
    </xf>
    <xf numFmtId="0" fontId="5" fillId="5" borderId="3" xfId="0" applyFont="1" applyFill="1" applyBorder="1" applyAlignment="1">
      <alignment horizontal="center" vertical="center"/>
    </xf>
    <xf numFmtId="22" fontId="4" fillId="0" borderId="3" xfId="0" applyNumberFormat="1" applyFont="1" applyBorder="1" applyAlignment="1">
      <alignment horizontal="center" vertical="center"/>
    </xf>
    <xf numFmtId="167" fontId="4" fillId="0" borderId="3" xfId="0" applyNumberFormat="1" applyFont="1" applyBorder="1" applyAlignment="1">
      <alignment horizontal="center" vertical="center"/>
    </xf>
    <xf numFmtId="0" fontId="5" fillId="0" borderId="4" xfId="0" applyFont="1" applyBorder="1" applyAlignment="1">
      <alignment horizontal="center" vertical="center" wrapText="1"/>
    </xf>
    <xf numFmtId="22" fontId="4" fillId="0" borderId="3"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6" fillId="0" borderId="0" xfId="0" applyFont="1" applyAlignment="1">
      <alignment horizontal="center" vertical="center"/>
    </xf>
    <xf numFmtId="0" fontId="5" fillId="0" borderId="0" xfId="0" applyFont="1" applyAlignment="1">
      <alignment horizontal="center" vertical="center"/>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2">
    <tableStyle name="WAN-style" pivot="0" count="2" xr9:uid="{00000000-0011-0000-FFFF-FFFF00000000}">
      <tableStyleElement type="firstRowStripe" dxfId="3"/>
      <tableStyleElement type="secondRowStripe" dxfId="2"/>
    </tableStyle>
    <tableStyle name="WAN-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X75:Z75" headerRowCount="0">
  <tableColumns count="3">
    <tableColumn id="1" xr3:uid="{00000000-0010-0000-0000-000001000000}" name="Column1"/>
    <tableColumn id="2" xr3:uid="{00000000-0010-0000-0000-000002000000}" name="Column2"/>
    <tableColumn id="3" xr3:uid="{00000000-0010-0000-0000-000003000000}" name="Column3"/>
  </tableColumns>
  <tableStyleInfo name="WA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X76:Z76" headerRowCount="0">
  <tableColumns count="3">
    <tableColumn id="1" xr3:uid="{00000000-0010-0000-0100-000001000000}" name="Column1"/>
    <tableColumn id="2" xr3:uid="{00000000-0010-0000-0100-000002000000}" name="Column2"/>
    <tableColumn id="3" xr3:uid="{00000000-0010-0000-0100-000003000000}" name="Column3"/>
  </tableColumns>
  <tableStyleInfo name="WAN-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6"/>
  <sheetViews>
    <sheetView tabSelected="1" zoomScale="85" zoomScaleNormal="85" workbookViewId="0">
      <pane xSplit="4" ySplit="1" topLeftCell="U96" activePane="bottomRight" state="frozen"/>
      <selection pane="topRight" activeCell="E1" sqref="E1"/>
      <selection pane="bottomLeft" activeCell="A2" sqref="A2"/>
      <selection pane="bottomRight" activeCell="Z117" sqref="Z117"/>
    </sheetView>
  </sheetViews>
  <sheetFormatPr defaultColWidth="12.5703125" defaultRowHeight="15" customHeight="1" x14ac:dyDescent="0.2"/>
  <cols>
    <col min="1" max="1" width="5.28515625" customWidth="1"/>
    <col min="2" max="2" width="24.42578125" bestFit="1" customWidth="1"/>
    <col min="3" max="3" width="5.5703125" customWidth="1"/>
    <col min="4" max="4" width="14.85546875" customWidth="1"/>
    <col min="5" max="5" width="12.7109375" customWidth="1"/>
    <col min="6" max="6" width="42.42578125" customWidth="1"/>
    <col min="7" max="7" width="27.42578125" customWidth="1"/>
    <col min="8" max="8" width="61.7109375" customWidth="1"/>
    <col min="9" max="9" width="34.7109375" customWidth="1"/>
    <col min="10" max="14" width="23" customWidth="1"/>
    <col min="15" max="20" width="24.140625" customWidth="1"/>
    <col min="21" max="21" width="24.7109375" customWidth="1"/>
    <col min="22" max="22" width="71.85546875" customWidth="1"/>
    <col min="23" max="23" width="17.28515625" customWidth="1"/>
    <col min="24" max="24" width="19.140625" customWidth="1"/>
    <col min="25" max="25" width="31.5703125" customWidth="1"/>
    <col min="26" max="26" width="50.28515625" customWidth="1"/>
    <col min="27" max="27" width="23.85546875" customWidth="1"/>
    <col min="28" max="28" width="18.140625" customWidth="1"/>
  </cols>
  <sheetData>
    <row r="1" spans="1:28" ht="66.75" customHeight="1" x14ac:dyDescent="0.2">
      <c r="A1" s="1" t="s">
        <v>0</v>
      </c>
      <c r="B1" s="1" t="s">
        <v>1</v>
      </c>
      <c r="C1" s="1" t="s">
        <v>2</v>
      </c>
      <c r="D1" s="1" t="s">
        <v>3</v>
      </c>
      <c r="E1" s="2" t="s">
        <v>4</v>
      </c>
      <c r="F1" s="1" t="s">
        <v>5</v>
      </c>
      <c r="G1" s="1" t="s">
        <v>6</v>
      </c>
      <c r="H1" s="1" t="s">
        <v>7</v>
      </c>
      <c r="I1" s="1" t="s">
        <v>8</v>
      </c>
      <c r="J1" s="3" t="s">
        <v>9</v>
      </c>
      <c r="K1" s="1" t="s">
        <v>10</v>
      </c>
      <c r="L1" s="1" t="s">
        <v>11</v>
      </c>
      <c r="M1" s="1" t="s">
        <v>12</v>
      </c>
      <c r="N1" s="1" t="s">
        <v>13</v>
      </c>
      <c r="O1" s="4" t="s">
        <v>14</v>
      </c>
      <c r="P1" s="5" t="s">
        <v>15</v>
      </c>
      <c r="Q1" s="5" t="s">
        <v>16</v>
      </c>
      <c r="R1" s="5" t="s">
        <v>17</v>
      </c>
      <c r="S1" s="5" t="s">
        <v>18</v>
      </c>
      <c r="T1" s="5" t="s">
        <v>19</v>
      </c>
      <c r="U1" s="5" t="s">
        <v>20</v>
      </c>
      <c r="V1" s="1" t="s">
        <v>21</v>
      </c>
      <c r="W1" s="1" t="s">
        <v>22</v>
      </c>
      <c r="X1" s="6" t="s">
        <v>23</v>
      </c>
      <c r="Y1" s="6" t="s">
        <v>24</v>
      </c>
      <c r="Z1" s="6" t="s">
        <v>25</v>
      </c>
      <c r="AA1" s="1" t="s">
        <v>26</v>
      </c>
      <c r="AB1" s="7" t="s">
        <v>27</v>
      </c>
    </row>
    <row r="2" spans="1:28" ht="28.5" x14ac:dyDescent="0.2">
      <c r="A2" s="8">
        <v>1</v>
      </c>
      <c r="B2" s="8" t="s">
        <v>28</v>
      </c>
      <c r="C2" s="8" t="s">
        <v>28</v>
      </c>
      <c r="D2" s="9">
        <v>46054</v>
      </c>
      <c r="E2" s="10" t="s">
        <v>29</v>
      </c>
      <c r="F2" s="10" t="s">
        <v>30</v>
      </c>
      <c r="G2" s="10" t="s">
        <v>31</v>
      </c>
      <c r="H2" s="11" t="s">
        <v>32</v>
      </c>
      <c r="I2" s="12" t="s">
        <v>33</v>
      </c>
      <c r="J2" s="8"/>
      <c r="K2" s="8" t="s">
        <v>34</v>
      </c>
      <c r="L2" s="8" t="s">
        <v>35</v>
      </c>
      <c r="M2" s="8" t="s">
        <v>36</v>
      </c>
      <c r="N2" s="8" t="s">
        <v>37</v>
      </c>
      <c r="O2" s="13">
        <v>46054.36041666667</v>
      </c>
      <c r="P2" s="13">
        <v>46054.36041666667</v>
      </c>
      <c r="Q2" s="14">
        <f t="shared" ref="Q2:Q110" si="0">(P2-O2)*60*24</f>
        <v>0</v>
      </c>
      <c r="R2" s="13">
        <v>46054.36041666667</v>
      </c>
      <c r="S2" s="13">
        <v>46054.581250000003</v>
      </c>
      <c r="T2" s="14">
        <f t="shared" ref="T2:T110" si="1">(S2-R2)*60*24</f>
        <v>317.99999999930151</v>
      </c>
      <c r="U2" s="14">
        <f t="shared" ref="U2:U110" si="2">(S2-O2)*60*24</f>
        <v>317.99999999930151</v>
      </c>
      <c r="V2" s="12" t="s">
        <v>38</v>
      </c>
      <c r="W2" s="8" t="s">
        <v>39</v>
      </c>
      <c r="X2" s="15" t="s">
        <v>40</v>
      </c>
      <c r="Y2" s="15" t="s">
        <v>41</v>
      </c>
      <c r="Z2" s="15" t="s">
        <v>42</v>
      </c>
      <c r="AA2" s="8" t="s">
        <v>43</v>
      </c>
      <c r="AB2" s="8"/>
    </row>
    <row r="3" spans="1:28" ht="14.25" x14ac:dyDescent="0.2">
      <c r="A3" s="8">
        <v>2</v>
      </c>
      <c r="B3" s="8" t="s">
        <v>28</v>
      </c>
      <c r="C3" s="8" t="s">
        <v>28</v>
      </c>
      <c r="D3" s="9">
        <v>46055</v>
      </c>
      <c r="E3" s="10" t="s">
        <v>29</v>
      </c>
      <c r="F3" s="10" t="s">
        <v>30</v>
      </c>
      <c r="G3" s="10" t="s">
        <v>31</v>
      </c>
      <c r="H3" s="11" t="s">
        <v>44</v>
      </c>
      <c r="I3" s="12" t="s">
        <v>45</v>
      </c>
      <c r="J3" s="8"/>
      <c r="K3" s="8" t="s">
        <v>46</v>
      </c>
      <c r="L3" s="8" t="s">
        <v>47</v>
      </c>
      <c r="M3" s="8" t="s">
        <v>36</v>
      </c>
      <c r="N3" s="8" t="s">
        <v>37</v>
      </c>
      <c r="O3" s="13">
        <v>46055.544444444444</v>
      </c>
      <c r="P3" s="13">
        <v>46055.544444444444</v>
      </c>
      <c r="Q3" s="14">
        <f t="shared" si="0"/>
        <v>0</v>
      </c>
      <c r="R3" s="13">
        <v>46055.544444444444</v>
      </c>
      <c r="S3" s="13">
        <v>46055.547222222223</v>
      </c>
      <c r="T3" s="14">
        <f t="shared" si="1"/>
        <v>4.0000000025611371</v>
      </c>
      <c r="U3" s="14">
        <f t="shared" si="2"/>
        <v>4.0000000025611371</v>
      </c>
      <c r="V3" s="12" t="s">
        <v>48</v>
      </c>
      <c r="W3" s="8" t="s">
        <v>39</v>
      </c>
      <c r="X3" s="15" t="s">
        <v>40</v>
      </c>
      <c r="Y3" s="15" t="s">
        <v>41</v>
      </c>
      <c r="Z3" s="15" t="s">
        <v>49</v>
      </c>
      <c r="AA3" s="8" t="s">
        <v>43</v>
      </c>
      <c r="AB3" s="8"/>
    </row>
    <row r="4" spans="1:28" ht="28.5" x14ac:dyDescent="0.2">
      <c r="A4" s="8">
        <v>3</v>
      </c>
      <c r="B4" s="8" t="s">
        <v>28</v>
      </c>
      <c r="C4" s="8" t="s">
        <v>28</v>
      </c>
      <c r="D4" s="9">
        <v>46055</v>
      </c>
      <c r="E4" s="10" t="s">
        <v>29</v>
      </c>
      <c r="F4" s="10" t="s">
        <v>30</v>
      </c>
      <c r="G4" s="10" t="s">
        <v>31</v>
      </c>
      <c r="H4" s="11" t="s">
        <v>50</v>
      </c>
      <c r="I4" s="12" t="s">
        <v>51</v>
      </c>
      <c r="J4" s="8"/>
      <c r="K4" s="8" t="s">
        <v>29</v>
      </c>
      <c r="L4" s="8" t="s">
        <v>29</v>
      </c>
      <c r="M4" s="8" t="s">
        <v>29</v>
      </c>
      <c r="N4" s="8" t="s">
        <v>37</v>
      </c>
      <c r="O4" s="13">
        <v>46055.28402777778</v>
      </c>
      <c r="P4" s="13">
        <v>46055.28402777778</v>
      </c>
      <c r="Q4" s="14">
        <f t="shared" si="0"/>
        <v>0</v>
      </c>
      <c r="R4" s="13">
        <v>46055.28402777778</v>
      </c>
      <c r="S4" s="13">
        <v>46055.284722222219</v>
      </c>
      <c r="T4" s="14">
        <f t="shared" si="1"/>
        <v>0.99999999278225005</v>
      </c>
      <c r="U4" s="14">
        <f t="shared" si="2"/>
        <v>0.99999999278225005</v>
      </c>
      <c r="V4" s="12" t="s">
        <v>52</v>
      </c>
      <c r="W4" s="8" t="s">
        <v>39</v>
      </c>
      <c r="X4" s="15" t="s">
        <v>40</v>
      </c>
      <c r="Y4" s="15" t="s">
        <v>41</v>
      </c>
      <c r="Z4" s="15" t="s">
        <v>53</v>
      </c>
      <c r="AA4" s="8" t="s">
        <v>43</v>
      </c>
      <c r="AB4" s="8"/>
    </row>
    <row r="5" spans="1:28" ht="42.75" x14ac:dyDescent="0.2">
      <c r="A5" s="8">
        <v>4</v>
      </c>
      <c r="B5" s="8" t="s">
        <v>28</v>
      </c>
      <c r="C5" s="8" t="s">
        <v>28</v>
      </c>
      <c r="D5" s="9">
        <v>46057</v>
      </c>
      <c r="E5" s="10" t="s">
        <v>54</v>
      </c>
      <c r="F5" s="10" t="s">
        <v>30</v>
      </c>
      <c r="G5" s="10" t="s">
        <v>55</v>
      </c>
      <c r="H5" s="11" t="s">
        <v>56</v>
      </c>
      <c r="I5" s="12" t="s">
        <v>57</v>
      </c>
      <c r="J5" s="8"/>
      <c r="K5" s="8" t="s">
        <v>46</v>
      </c>
      <c r="L5" s="8" t="s">
        <v>58</v>
      </c>
      <c r="M5" s="8" t="s">
        <v>36</v>
      </c>
      <c r="N5" s="8" t="s">
        <v>37</v>
      </c>
      <c r="O5" s="13">
        <v>46057.291666666664</v>
      </c>
      <c r="P5" s="13">
        <v>46057.291666666664</v>
      </c>
      <c r="Q5" s="14">
        <f t="shared" si="0"/>
        <v>0</v>
      </c>
      <c r="R5" s="13">
        <v>46057.333333333336</v>
      </c>
      <c r="S5" s="13">
        <v>46057.577777777777</v>
      </c>
      <c r="T5" s="14">
        <f t="shared" si="1"/>
        <v>351.99999999487773</v>
      </c>
      <c r="U5" s="14">
        <f t="shared" si="2"/>
        <v>412.00000000186265</v>
      </c>
      <c r="V5" s="12" t="s">
        <v>59</v>
      </c>
      <c r="W5" s="8" t="s">
        <v>39</v>
      </c>
      <c r="X5" s="15" t="s">
        <v>40</v>
      </c>
      <c r="Y5" s="15" t="s">
        <v>41</v>
      </c>
      <c r="Z5" s="15" t="s">
        <v>42</v>
      </c>
      <c r="AA5" s="8" t="s">
        <v>43</v>
      </c>
      <c r="AB5" s="8"/>
    </row>
    <row r="6" spans="1:28" ht="14.25" x14ac:dyDescent="0.2">
      <c r="A6" s="8">
        <v>5</v>
      </c>
      <c r="B6" s="8" t="s">
        <v>28</v>
      </c>
      <c r="C6" s="8" t="s">
        <v>28</v>
      </c>
      <c r="D6" s="9">
        <v>46058</v>
      </c>
      <c r="E6" s="10" t="s">
        <v>29</v>
      </c>
      <c r="F6" s="10" t="s">
        <v>30</v>
      </c>
      <c r="G6" s="10" t="s">
        <v>60</v>
      </c>
      <c r="H6" s="11" t="s">
        <v>44</v>
      </c>
      <c r="I6" s="12" t="s">
        <v>45</v>
      </c>
      <c r="J6" s="8"/>
      <c r="K6" s="8" t="s">
        <v>46</v>
      </c>
      <c r="L6" s="8" t="s">
        <v>47</v>
      </c>
      <c r="M6" s="8" t="s">
        <v>36</v>
      </c>
      <c r="N6" s="8" t="s">
        <v>37</v>
      </c>
      <c r="O6" s="13">
        <v>46058.532638888886</v>
      </c>
      <c r="P6" s="13">
        <v>46058.532638888886</v>
      </c>
      <c r="Q6" s="14">
        <f t="shared" si="0"/>
        <v>0</v>
      </c>
      <c r="R6" s="13">
        <v>46058.532638888886</v>
      </c>
      <c r="S6" s="13">
        <v>46058.534722222219</v>
      </c>
      <c r="T6" s="14">
        <f t="shared" si="1"/>
        <v>2.9999999993015081</v>
      </c>
      <c r="U6" s="14">
        <f t="shared" si="2"/>
        <v>2.9999999993015081</v>
      </c>
      <c r="V6" s="12" t="s">
        <v>61</v>
      </c>
      <c r="W6" s="8" t="s">
        <v>39</v>
      </c>
      <c r="X6" s="15" t="s">
        <v>40</v>
      </c>
      <c r="Y6" s="15" t="s">
        <v>41</v>
      </c>
      <c r="Z6" s="15" t="s">
        <v>49</v>
      </c>
      <c r="AA6" s="8" t="s">
        <v>43</v>
      </c>
      <c r="AB6" s="8"/>
    </row>
    <row r="7" spans="1:28" ht="14.25" x14ac:dyDescent="0.2">
      <c r="A7" s="8">
        <v>6</v>
      </c>
      <c r="B7" s="8" t="s">
        <v>28</v>
      </c>
      <c r="C7" s="8" t="s">
        <v>28</v>
      </c>
      <c r="D7" s="9">
        <v>46058</v>
      </c>
      <c r="E7" s="10" t="s">
        <v>29</v>
      </c>
      <c r="F7" s="10" t="s">
        <v>30</v>
      </c>
      <c r="G7" s="10" t="s">
        <v>60</v>
      </c>
      <c r="H7" s="11" t="s">
        <v>44</v>
      </c>
      <c r="I7" s="12" t="s">
        <v>45</v>
      </c>
      <c r="J7" s="8"/>
      <c r="K7" s="8" t="s">
        <v>46</v>
      </c>
      <c r="L7" s="8" t="s">
        <v>47</v>
      </c>
      <c r="M7" s="8" t="s">
        <v>36</v>
      </c>
      <c r="N7" s="8" t="s">
        <v>37</v>
      </c>
      <c r="O7" s="13">
        <v>46058.600694444445</v>
      </c>
      <c r="P7" s="13">
        <v>46058.600694444445</v>
      </c>
      <c r="Q7" s="14">
        <f t="shared" si="0"/>
        <v>0</v>
      </c>
      <c r="R7" s="13">
        <v>46058.600694444445</v>
      </c>
      <c r="S7" s="13">
        <v>46058.60833333333</v>
      </c>
      <c r="T7" s="14">
        <f t="shared" si="1"/>
        <v>10.999999993946403</v>
      </c>
      <c r="U7" s="14">
        <f t="shared" si="2"/>
        <v>10.999999993946403</v>
      </c>
      <c r="V7" s="12" t="s">
        <v>62</v>
      </c>
      <c r="W7" s="8" t="s">
        <v>39</v>
      </c>
      <c r="X7" s="15" t="s">
        <v>40</v>
      </c>
      <c r="Y7" s="15" t="s">
        <v>41</v>
      </c>
      <c r="Z7" s="15" t="s">
        <v>49</v>
      </c>
      <c r="AA7" s="8" t="s">
        <v>43</v>
      </c>
      <c r="AB7" s="8"/>
    </row>
    <row r="8" spans="1:28" ht="14.25" x14ac:dyDescent="0.2">
      <c r="A8" s="8">
        <v>7</v>
      </c>
      <c r="B8" s="8" t="s">
        <v>28</v>
      </c>
      <c r="C8" s="8" t="s">
        <v>28</v>
      </c>
      <c r="D8" s="9">
        <v>46059</v>
      </c>
      <c r="E8" s="10" t="s">
        <v>54</v>
      </c>
      <c r="F8" s="10" t="s">
        <v>30</v>
      </c>
      <c r="G8" s="10" t="s">
        <v>55</v>
      </c>
      <c r="H8" s="11" t="s">
        <v>63</v>
      </c>
      <c r="I8" s="12" t="s">
        <v>64</v>
      </c>
      <c r="J8" s="8"/>
      <c r="K8" s="8" t="s">
        <v>34</v>
      </c>
      <c r="L8" s="8" t="s">
        <v>35</v>
      </c>
      <c r="M8" s="8" t="s">
        <v>36</v>
      </c>
      <c r="N8" s="8" t="s">
        <v>37</v>
      </c>
      <c r="O8" s="13">
        <v>46059.4</v>
      </c>
      <c r="P8" s="13">
        <v>46059.4</v>
      </c>
      <c r="Q8" s="14">
        <f t="shared" si="0"/>
        <v>0</v>
      </c>
      <c r="R8" s="13">
        <v>46059.459027777775</v>
      </c>
      <c r="S8" s="13">
        <v>46059.463888888888</v>
      </c>
      <c r="T8" s="14">
        <f t="shared" si="1"/>
        <v>7.0000000018626451</v>
      </c>
      <c r="U8" s="14">
        <f t="shared" si="2"/>
        <v>91.999999996041879</v>
      </c>
      <c r="V8" s="12" t="s">
        <v>65</v>
      </c>
      <c r="W8" s="8" t="s">
        <v>39</v>
      </c>
      <c r="X8" s="15" t="s">
        <v>66</v>
      </c>
      <c r="Y8" s="15" t="s">
        <v>67</v>
      </c>
      <c r="Z8" s="15" t="s">
        <v>67</v>
      </c>
      <c r="AA8" s="8" t="s">
        <v>43</v>
      </c>
      <c r="AB8" s="8"/>
    </row>
    <row r="9" spans="1:28" ht="28.5" x14ac:dyDescent="0.2">
      <c r="A9" s="8">
        <v>8</v>
      </c>
      <c r="B9" s="8" t="s">
        <v>28</v>
      </c>
      <c r="C9" s="8" t="s">
        <v>28</v>
      </c>
      <c r="D9" s="9">
        <v>46060</v>
      </c>
      <c r="E9" s="10" t="s">
        <v>54</v>
      </c>
      <c r="F9" s="10" t="s">
        <v>30</v>
      </c>
      <c r="G9" s="10" t="s">
        <v>55</v>
      </c>
      <c r="H9" s="11" t="s">
        <v>68</v>
      </c>
      <c r="I9" s="12" t="s">
        <v>69</v>
      </c>
      <c r="J9" s="8"/>
      <c r="K9" s="8" t="s">
        <v>70</v>
      </c>
      <c r="L9" s="8" t="s">
        <v>71</v>
      </c>
      <c r="M9" s="8" t="s">
        <v>36</v>
      </c>
      <c r="N9" s="8" t="s">
        <v>37</v>
      </c>
      <c r="O9" s="13">
        <v>46060.475694444445</v>
      </c>
      <c r="P9" s="13">
        <v>46060.475694444445</v>
      </c>
      <c r="Q9" s="14">
        <f t="shared" si="0"/>
        <v>0</v>
      </c>
      <c r="R9" s="13">
        <v>46060.501388888886</v>
      </c>
      <c r="S9" s="13">
        <v>46060.550694444442</v>
      </c>
      <c r="T9" s="14">
        <f t="shared" si="1"/>
        <v>71.000000000931323</v>
      </c>
      <c r="U9" s="14">
        <f t="shared" si="2"/>
        <v>107.99999999580905</v>
      </c>
      <c r="V9" s="12" t="s">
        <v>72</v>
      </c>
      <c r="W9" s="8" t="s">
        <v>39</v>
      </c>
      <c r="X9" s="15" t="s">
        <v>40</v>
      </c>
      <c r="Y9" s="15" t="s">
        <v>41</v>
      </c>
      <c r="Z9" s="15" t="s">
        <v>42</v>
      </c>
      <c r="AA9" s="8" t="s">
        <v>43</v>
      </c>
      <c r="AB9" s="8"/>
    </row>
    <row r="10" spans="1:28" ht="28.5" x14ac:dyDescent="0.2">
      <c r="A10" s="8">
        <v>9</v>
      </c>
      <c r="B10" s="8" t="s">
        <v>28</v>
      </c>
      <c r="C10" s="8" t="s">
        <v>28</v>
      </c>
      <c r="D10" s="9">
        <v>46060</v>
      </c>
      <c r="E10" s="10" t="s">
        <v>54</v>
      </c>
      <c r="F10" s="10" t="s">
        <v>30</v>
      </c>
      <c r="G10" s="10" t="s">
        <v>55</v>
      </c>
      <c r="H10" s="11" t="s">
        <v>68</v>
      </c>
      <c r="I10" s="12" t="s">
        <v>73</v>
      </c>
      <c r="J10" s="8"/>
      <c r="K10" s="8" t="s">
        <v>70</v>
      </c>
      <c r="L10" s="8" t="s">
        <v>71</v>
      </c>
      <c r="M10" s="8" t="s">
        <v>36</v>
      </c>
      <c r="N10" s="8" t="s">
        <v>37</v>
      </c>
      <c r="O10" s="13">
        <v>46060.475694444445</v>
      </c>
      <c r="P10" s="13">
        <v>46060.475694444445</v>
      </c>
      <c r="Q10" s="14">
        <f t="shared" si="0"/>
        <v>0</v>
      </c>
      <c r="R10" s="13">
        <v>46060.501388888886</v>
      </c>
      <c r="S10" s="13">
        <v>46060.550694444442</v>
      </c>
      <c r="T10" s="14">
        <f t="shared" si="1"/>
        <v>71.000000000931323</v>
      </c>
      <c r="U10" s="14">
        <f t="shared" si="2"/>
        <v>107.99999999580905</v>
      </c>
      <c r="V10" s="12" t="s">
        <v>72</v>
      </c>
      <c r="W10" s="8" t="s">
        <v>39</v>
      </c>
      <c r="X10" s="15" t="s">
        <v>40</v>
      </c>
      <c r="Y10" s="15" t="s">
        <v>41</v>
      </c>
      <c r="Z10" s="15" t="s">
        <v>42</v>
      </c>
      <c r="AA10" s="8" t="s">
        <v>43</v>
      </c>
      <c r="AB10" s="8"/>
    </row>
    <row r="11" spans="1:28" ht="14.25" x14ac:dyDescent="0.2">
      <c r="A11" s="8">
        <v>10</v>
      </c>
      <c r="B11" s="8" t="s">
        <v>28</v>
      </c>
      <c r="C11" s="8" t="s">
        <v>28</v>
      </c>
      <c r="D11" s="9">
        <v>46061</v>
      </c>
      <c r="E11" s="10" t="s">
        <v>74</v>
      </c>
      <c r="F11" s="10" t="s">
        <v>30</v>
      </c>
      <c r="G11" s="10" t="s">
        <v>55</v>
      </c>
      <c r="H11" s="11" t="s">
        <v>75</v>
      </c>
      <c r="I11" s="12" t="s">
        <v>76</v>
      </c>
      <c r="J11" s="8"/>
      <c r="K11" s="8" t="s">
        <v>77</v>
      </c>
      <c r="L11" s="8" t="s">
        <v>78</v>
      </c>
      <c r="M11" s="8" t="s">
        <v>36</v>
      </c>
      <c r="N11" s="8" t="s">
        <v>37</v>
      </c>
      <c r="O11" s="13">
        <v>46061.520138888889</v>
      </c>
      <c r="P11" s="13">
        <v>46061.520138888889</v>
      </c>
      <c r="Q11" s="14">
        <f t="shared" si="0"/>
        <v>0</v>
      </c>
      <c r="R11" s="13">
        <v>46061.56527777778</v>
      </c>
      <c r="S11" s="13">
        <v>46061.583333333336</v>
      </c>
      <c r="T11" s="14">
        <f t="shared" si="1"/>
        <v>26.000000000931323</v>
      </c>
      <c r="U11" s="14">
        <f t="shared" si="2"/>
        <v>91.000000003259629</v>
      </c>
      <c r="V11" s="12" t="s">
        <v>79</v>
      </c>
      <c r="W11" s="8" t="s">
        <v>39</v>
      </c>
      <c r="X11" s="15" t="s">
        <v>66</v>
      </c>
      <c r="Y11" s="15" t="s">
        <v>67</v>
      </c>
      <c r="Z11" s="15" t="s">
        <v>67</v>
      </c>
      <c r="AA11" s="8" t="s">
        <v>43</v>
      </c>
      <c r="AB11" s="8"/>
    </row>
    <row r="12" spans="1:28" ht="28.5" x14ac:dyDescent="0.2">
      <c r="A12" s="8">
        <v>11</v>
      </c>
      <c r="B12" s="8" t="s">
        <v>28</v>
      </c>
      <c r="C12" s="8" t="s">
        <v>28</v>
      </c>
      <c r="D12" s="9">
        <v>46062</v>
      </c>
      <c r="E12" s="10" t="s">
        <v>74</v>
      </c>
      <c r="F12" s="10" t="s">
        <v>30</v>
      </c>
      <c r="G12" s="10" t="s">
        <v>55</v>
      </c>
      <c r="H12" s="11" t="s">
        <v>44</v>
      </c>
      <c r="I12" s="12" t="s">
        <v>80</v>
      </c>
      <c r="J12" s="8"/>
      <c r="K12" s="8" t="s">
        <v>81</v>
      </c>
      <c r="L12" s="8" t="s">
        <v>82</v>
      </c>
      <c r="M12" s="8" t="s">
        <v>36</v>
      </c>
      <c r="N12" s="8" t="s">
        <v>37</v>
      </c>
      <c r="O12" s="13">
        <v>46062.629166666666</v>
      </c>
      <c r="P12" s="13">
        <v>46062.629166666666</v>
      </c>
      <c r="Q12" s="14">
        <f t="shared" si="0"/>
        <v>0</v>
      </c>
      <c r="R12" s="13">
        <v>46062.629166666666</v>
      </c>
      <c r="S12" s="13">
        <v>46062.630555555559</v>
      </c>
      <c r="T12" s="14">
        <f t="shared" si="1"/>
        <v>2.000000006519258</v>
      </c>
      <c r="U12" s="14">
        <f t="shared" si="2"/>
        <v>2.000000006519258</v>
      </c>
      <c r="V12" s="12" t="s">
        <v>52</v>
      </c>
      <c r="W12" s="8" t="s">
        <v>39</v>
      </c>
      <c r="X12" s="15" t="s">
        <v>40</v>
      </c>
      <c r="Y12" s="15" t="s">
        <v>41</v>
      </c>
      <c r="Z12" s="15" t="s">
        <v>53</v>
      </c>
      <c r="AA12" s="8" t="s">
        <v>43</v>
      </c>
      <c r="AB12" s="8"/>
    </row>
    <row r="13" spans="1:28" ht="28.5" x14ac:dyDescent="0.2">
      <c r="A13" s="8">
        <v>12</v>
      </c>
      <c r="B13" s="8" t="s">
        <v>28</v>
      </c>
      <c r="C13" s="8" t="s">
        <v>28</v>
      </c>
      <c r="D13" s="9">
        <v>46062</v>
      </c>
      <c r="E13" s="10" t="s">
        <v>74</v>
      </c>
      <c r="F13" s="10" t="s">
        <v>30</v>
      </c>
      <c r="G13" s="10" t="s">
        <v>55</v>
      </c>
      <c r="H13" s="11" t="s">
        <v>44</v>
      </c>
      <c r="I13" s="12" t="s">
        <v>83</v>
      </c>
      <c r="J13" s="8"/>
      <c r="K13" s="8" t="s">
        <v>84</v>
      </c>
      <c r="L13" s="8" t="s">
        <v>85</v>
      </c>
      <c r="M13" s="8" t="s">
        <v>36</v>
      </c>
      <c r="N13" s="8" t="s">
        <v>37</v>
      </c>
      <c r="O13" s="13">
        <v>46062.654861111114</v>
      </c>
      <c r="P13" s="13">
        <v>46062.654861111114</v>
      </c>
      <c r="Q13" s="14">
        <f t="shared" si="0"/>
        <v>0</v>
      </c>
      <c r="R13" s="13">
        <v>46062.654861111114</v>
      </c>
      <c r="S13" s="13">
        <v>46062.65625</v>
      </c>
      <c r="T13" s="14">
        <f t="shared" si="1"/>
        <v>1.9999999960418791</v>
      </c>
      <c r="U13" s="14">
        <f t="shared" si="2"/>
        <v>1.9999999960418791</v>
      </c>
      <c r="V13" s="12" t="s">
        <v>52</v>
      </c>
      <c r="W13" s="8" t="s">
        <v>39</v>
      </c>
      <c r="X13" s="15" t="s">
        <v>40</v>
      </c>
      <c r="Y13" s="15" t="s">
        <v>41</v>
      </c>
      <c r="Z13" s="15" t="s">
        <v>53</v>
      </c>
      <c r="AA13" s="8" t="s">
        <v>43</v>
      </c>
      <c r="AB13" s="8"/>
    </row>
    <row r="14" spans="1:28" ht="14.25" x14ac:dyDescent="0.2">
      <c r="A14" s="8">
        <v>13</v>
      </c>
      <c r="B14" s="8" t="s">
        <v>28</v>
      </c>
      <c r="C14" s="8" t="s">
        <v>28</v>
      </c>
      <c r="D14" s="9">
        <v>46063</v>
      </c>
      <c r="E14" s="10" t="s">
        <v>74</v>
      </c>
      <c r="F14" s="10" t="s">
        <v>30</v>
      </c>
      <c r="G14" s="10" t="s">
        <v>60</v>
      </c>
      <c r="H14" s="11" t="s">
        <v>75</v>
      </c>
      <c r="I14" s="12" t="s">
        <v>86</v>
      </c>
      <c r="J14" s="8"/>
      <c r="K14" s="8" t="s">
        <v>84</v>
      </c>
      <c r="L14" s="8" t="s">
        <v>87</v>
      </c>
      <c r="M14" s="8" t="s">
        <v>36</v>
      </c>
      <c r="N14" s="8" t="s">
        <v>37</v>
      </c>
      <c r="O14" s="13">
        <v>46063.568749999999</v>
      </c>
      <c r="P14" s="13">
        <v>46063.568749999999</v>
      </c>
      <c r="Q14" s="14">
        <f t="shared" si="0"/>
        <v>0</v>
      </c>
      <c r="R14" s="13">
        <v>46063.593055555553</v>
      </c>
      <c r="S14" s="13">
        <v>46063.661111111112</v>
      </c>
      <c r="T14" s="14">
        <f t="shared" si="1"/>
        <v>98.000000005122274</v>
      </c>
      <c r="U14" s="14">
        <f t="shared" si="2"/>
        <v>133.00000000395812</v>
      </c>
      <c r="V14" s="12" t="s">
        <v>88</v>
      </c>
      <c r="W14" s="8" t="s">
        <v>39</v>
      </c>
      <c r="X14" s="15" t="s">
        <v>66</v>
      </c>
      <c r="Y14" s="15" t="s">
        <v>67</v>
      </c>
      <c r="Z14" s="15" t="s">
        <v>67</v>
      </c>
      <c r="AA14" s="8" t="s">
        <v>43</v>
      </c>
      <c r="AB14" s="8"/>
    </row>
    <row r="15" spans="1:28" ht="14.25" x14ac:dyDescent="0.2">
      <c r="A15" s="8">
        <v>14</v>
      </c>
      <c r="B15" s="8" t="s">
        <v>28</v>
      </c>
      <c r="C15" s="8" t="s">
        <v>28</v>
      </c>
      <c r="D15" s="9">
        <v>46063</v>
      </c>
      <c r="E15" s="10" t="s">
        <v>74</v>
      </c>
      <c r="F15" s="10" t="s">
        <v>30</v>
      </c>
      <c r="G15" s="10" t="s">
        <v>60</v>
      </c>
      <c r="H15" s="11" t="s">
        <v>44</v>
      </c>
      <c r="I15" s="12" t="s">
        <v>45</v>
      </c>
      <c r="J15" s="8"/>
      <c r="K15" s="8" t="s">
        <v>46</v>
      </c>
      <c r="L15" s="8" t="s">
        <v>47</v>
      </c>
      <c r="M15" s="8" t="s">
        <v>36</v>
      </c>
      <c r="N15" s="8" t="s">
        <v>37</v>
      </c>
      <c r="O15" s="13">
        <v>46063.679861111108</v>
      </c>
      <c r="P15" s="13">
        <v>46063.679861111108</v>
      </c>
      <c r="Q15" s="14">
        <f t="shared" si="0"/>
        <v>0</v>
      </c>
      <c r="R15" s="13">
        <v>46063.679861111108</v>
      </c>
      <c r="S15" s="13">
        <v>46063.68472222222</v>
      </c>
      <c r="T15" s="14">
        <f t="shared" si="1"/>
        <v>7.0000000018626451</v>
      </c>
      <c r="U15" s="14">
        <f t="shared" si="2"/>
        <v>7.0000000018626451</v>
      </c>
      <c r="V15" s="12" t="s">
        <v>89</v>
      </c>
      <c r="W15" s="8" t="s">
        <v>39</v>
      </c>
      <c r="X15" s="15" t="s">
        <v>40</v>
      </c>
      <c r="Y15" s="15" t="s">
        <v>41</v>
      </c>
      <c r="Z15" s="15" t="s">
        <v>49</v>
      </c>
      <c r="AA15" s="8" t="s">
        <v>43</v>
      </c>
      <c r="AB15" s="8"/>
    </row>
    <row r="16" spans="1:28" ht="14.25" x14ac:dyDescent="0.2">
      <c r="A16" s="8">
        <v>15</v>
      </c>
      <c r="B16" s="8" t="s">
        <v>28</v>
      </c>
      <c r="C16" s="8" t="s">
        <v>28</v>
      </c>
      <c r="D16" s="9">
        <v>46064</v>
      </c>
      <c r="E16" s="10" t="s">
        <v>74</v>
      </c>
      <c r="F16" s="10" t="s">
        <v>30</v>
      </c>
      <c r="G16" s="10" t="s">
        <v>60</v>
      </c>
      <c r="H16" s="11" t="s">
        <v>44</v>
      </c>
      <c r="I16" s="12" t="s">
        <v>45</v>
      </c>
      <c r="J16" s="8"/>
      <c r="K16" s="8" t="s">
        <v>46</v>
      </c>
      <c r="L16" s="8" t="s">
        <v>47</v>
      </c>
      <c r="M16" s="8" t="s">
        <v>36</v>
      </c>
      <c r="N16" s="8" t="s">
        <v>37</v>
      </c>
      <c r="O16" s="13">
        <v>46064.540972222225</v>
      </c>
      <c r="P16" s="13">
        <v>46064.540972222225</v>
      </c>
      <c r="Q16" s="14">
        <f t="shared" si="0"/>
        <v>0</v>
      </c>
      <c r="R16" s="13">
        <v>46064.540972222225</v>
      </c>
      <c r="S16" s="13">
        <v>46064.54791666667</v>
      </c>
      <c r="T16" s="14">
        <f t="shared" si="1"/>
        <v>10.000000001164153</v>
      </c>
      <c r="U16" s="14">
        <f t="shared" si="2"/>
        <v>10.000000001164153</v>
      </c>
      <c r="V16" s="12" t="s">
        <v>90</v>
      </c>
      <c r="W16" s="8" t="s">
        <v>39</v>
      </c>
      <c r="X16" s="15" t="s">
        <v>40</v>
      </c>
      <c r="Y16" s="15" t="s">
        <v>41</v>
      </c>
      <c r="Z16" s="15" t="s">
        <v>49</v>
      </c>
      <c r="AA16" s="8" t="s">
        <v>43</v>
      </c>
      <c r="AB16" s="8"/>
    </row>
    <row r="17" spans="1:28" ht="14.25" x14ac:dyDescent="0.2">
      <c r="A17" s="8">
        <v>16</v>
      </c>
      <c r="B17" s="8" t="s">
        <v>28</v>
      </c>
      <c r="C17" s="8" t="s">
        <v>28</v>
      </c>
      <c r="D17" s="9">
        <v>46064</v>
      </c>
      <c r="E17" s="10" t="s">
        <v>74</v>
      </c>
      <c r="F17" s="10" t="s">
        <v>30</v>
      </c>
      <c r="G17" s="10" t="s">
        <v>60</v>
      </c>
      <c r="H17" s="11" t="s">
        <v>44</v>
      </c>
      <c r="I17" s="12" t="s">
        <v>45</v>
      </c>
      <c r="J17" s="8"/>
      <c r="K17" s="8" t="s">
        <v>46</v>
      </c>
      <c r="L17" s="8" t="s">
        <v>47</v>
      </c>
      <c r="M17" s="8" t="s">
        <v>36</v>
      </c>
      <c r="N17" s="8" t="s">
        <v>37</v>
      </c>
      <c r="O17" s="13">
        <v>46064.548611111109</v>
      </c>
      <c r="P17" s="13">
        <v>46064.548611111109</v>
      </c>
      <c r="Q17" s="14">
        <f t="shared" si="0"/>
        <v>0</v>
      </c>
      <c r="R17" s="13">
        <v>46064.548611111109</v>
      </c>
      <c r="S17" s="13">
        <v>46064.554166666669</v>
      </c>
      <c r="T17" s="14">
        <f t="shared" si="1"/>
        <v>8.0000000051222742</v>
      </c>
      <c r="U17" s="14">
        <f t="shared" si="2"/>
        <v>8.0000000051222742</v>
      </c>
      <c r="V17" s="12" t="s">
        <v>91</v>
      </c>
      <c r="W17" s="8" t="s">
        <v>39</v>
      </c>
      <c r="X17" s="15" t="s">
        <v>40</v>
      </c>
      <c r="Y17" s="15" t="s">
        <v>41</v>
      </c>
      <c r="Z17" s="15" t="s">
        <v>49</v>
      </c>
      <c r="AA17" s="8" t="s">
        <v>43</v>
      </c>
      <c r="AB17" s="8"/>
    </row>
    <row r="18" spans="1:28" ht="14.25" x14ac:dyDescent="0.2">
      <c r="A18" s="8">
        <v>17</v>
      </c>
      <c r="B18" s="8" t="s">
        <v>28</v>
      </c>
      <c r="C18" s="8" t="s">
        <v>28</v>
      </c>
      <c r="D18" s="9">
        <v>46064</v>
      </c>
      <c r="E18" s="10" t="s">
        <v>74</v>
      </c>
      <c r="F18" s="10" t="s">
        <v>30</v>
      </c>
      <c r="G18" s="10" t="s">
        <v>60</v>
      </c>
      <c r="H18" s="11" t="s">
        <v>44</v>
      </c>
      <c r="I18" s="12" t="s">
        <v>45</v>
      </c>
      <c r="J18" s="8"/>
      <c r="K18" s="8" t="s">
        <v>46</v>
      </c>
      <c r="L18" s="8" t="s">
        <v>47</v>
      </c>
      <c r="M18" s="8" t="s">
        <v>36</v>
      </c>
      <c r="N18" s="8" t="s">
        <v>37</v>
      </c>
      <c r="O18" s="13">
        <v>46064.67291666667</v>
      </c>
      <c r="P18" s="13">
        <v>46064.67291666667</v>
      </c>
      <c r="Q18" s="14">
        <f t="shared" si="0"/>
        <v>0</v>
      </c>
      <c r="R18" s="13">
        <v>46064.67291666667</v>
      </c>
      <c r="S18" s="13">
        <v>46064.677083333336</v>
      </c>
      <c r="T18" s="14">
        <f t="shared" si="1"/>
        <v>5.9999999986030161</v>
      </c>
      <c r="U18" s="14">
        <f t="shared" si="2"/>
        <v>5.9999999986030161</v>
      </c>
      <c r="V18" s="12" t="s">
        <v>92</v>
      </c>
      <c r="W18" s="8" t="s">
        <v>39</v>
      </c>
      <c r="X18" s="15" t="s">
        <v>40</v>
      </c>
      <c r="Y18" s="15" t="s">
        <v>41</v>
      </c>
      <c r="Z18" s="15" t="s">
        <v>49</v>
      </c>
      <c r="AA18" s="8" t="s">
        <v>43</v>
      </c>
      <c r="AB18" s="8"/>
    </row>
    <row r="19" spans="1:28" ht="14.25" x14ac:dyDescent="0.2">
      <c r="A19" s="8">
        <v>18</v>
      </c>
      <c r="B19" s="8" t="s">
        <v>28</v>
      </c>
      <c r="C19" s="8" t="s">
        <v>28</v>
      </c>
      <c r="D19" s="9">
        <v>46064</v>
      </c>
      <c r="E19" s="8" t="s">
        <v>93</v>
      </c>
      <c r="F19" s="8" t="s">
        <v>30</v>
      </c>
      <c r="G19" s="8" t="s">
        <v>60</v>
      </c>
      <c r="H19" s="11" t="s">
        <v>94</v>
      </c>
      <c r="I19" s="12" t="s">
        <v>45</v>
      </c>
      <c r="J19" s="8"/>
      <c r="K19" s="8" t="s">
        <v>46</v>
      </c>
      <c r="L19" s="8" t="s">
        <v>47</v>
      </c>
      <c r="M19" s="8" t="s">
        <v>36</v>
      </c>
      <c r="N19" s="8" t="s">
        <v>37</v>
      </c>
      <c r="O19" s="13">
        <v>46064.771527777775</v>
      </c>
      <c r="P19" s="13">
        <v>46064.773611111108</v>
      </c>
      <c r="Q19" s="14">
        <f t="shared" si="0"/>
        <v>2.9999999993015081</v>
      </c>
      <c r="R19" s="13">
        <v>46064.806250000001</v>
      </c>
      <c r="S19" s="13">
        <v>46064.843055555553</v>
      </c>
      <c r="T19" s="14">
        <f t="shared" si="1"/>
        <v>52.999999994644895</v>
      </c>
      <c r="U19" s="14">
        <f t="shared" si="2"/>
        <v>103.00000000046566</v>
      </c>
      <c r="V19" s="12" t="s">
        <v>95</v>
      </c>
      <c r="W19" s="8" t="s">
        <v>39</v>
      </c>
      <c r="X19" s="15" t="s">
        <v>66</v>
      </c>
      <c r="Y19" s="15" t="s">
        <v>67</v>
      </c>
      <c r="Z19" s="15" t="s">
        <v>67</v>
      </c>
      <c r="AA19" s="8" t="s">
        <v>43</v>
      </c>
      <c r="AB19" s="8"/>
    </row>
    <row r="20" spans="1:28" ht="14.25" x14ac:dyDescent="0.2">
      <c r="A20" s="8">
        <v>19</v>
      </c>
      <c r="B20" s="8" t="s">
        <v>28</v>
      </c>
      <c r="C20" s="8" t="s">
        <v>28</v>
      </c>
      <c r="D20" s="9">
        <v>46065</v>
      </c>
      <c r="E20" s="8" t="s">
        <v>93</v>
      </c>
      <c r="F20" s="8" t="s">
        <v>30</v>
      </c>
      <c r="G20" s="10" t="s">
        <v>55</v>
      </c>
      <c r="H20" s="11" t="s">
        <v>28</v>
      </c>
      <c r="I20" s="12" t="s">
        <v>96</v>
      </c>
      <c r="J20" s="8"/>
      <c r="K20" s="8" t="s">
        <v>97</v>
      </c>
      <c r="L20" s="8" t="s">
        <v>98</v>
      </c>
      <c r="M20" s="8" t="s">
        <v>36</v>
      </c>
      <c r="N20" s="8" t="s">
        <v>37</v>
      </c>
      <c r="O20" s="13">
        <v>46065.719444444447</v>
      </c>
      <c r="P20" s="13">
        <v>46065.720833333333</v>
      </c>
      <c r="Q20" s="14">
        <f t="shared" si="0"/>
        <v>1.9999999960418791</v>
      </c>
      <c r="R20" s="13">
        <v>46065.720833333333</v>
      </c>
      <c r="S20" s="13">
        <v>46065.73541666667</v>
      </c>
      <c r="T20" s="14">
        <f t="shared" si="1"/>
        <v>21.000000005587935</v>
      </c>
      <c r="U20" s="14">
        <f t="shared" si="2"/>
        <v>23.000000001629815</v>
      </c>
      <c r="V20" s="12" t="s">
        <v>99</v>
      </c>
      <c r="W20" s="8" t="s">
        <v>39</v>
      </c>
      <c r="X20" s="15" t="s">
        <v>66</v>
      </c>
      <c r="Y20" s="15" t="s">
        <v>67</v>
      </c>
      <c r="Z20" s="15" t="s">
        <v>67</v>
      </c>
      <c r="AA20" s="8" t="s">
        <v>43</v>
      </c>
      <c r="AB20" s="8"/>
    </row>
    <row r="21" spans="1:28" ht="28.5" x14ac:dyDescent="0.2">
      <c r="A21" s="8">
        <v>20</v>
      </c>
      <c r="B21" s="8" t="s">
        <v>28</v>
      </c>
      <c r="C21" s="8" t="s">
        <v>28</v>
      </c>
      <c r="D21" s="9">
        <v>46067</v>
      </c>
      <c r="E21" s="8" t="s">
        <v>93</v>
      </c>
      <c r="F21" s="8" t="s">
        <v>30</v>
      </c>
      <c r="G21" s="10" t="s">
        <v>55</v>
      </c>
      <c r="H21" s="11" t="s">
        <v>28</v>
      </c>
      <c r="I21" s="12" t="s">
        <v>100</v>
      </c>
      <c r="J21" s="8"/>
      <c r="K21" s="8" t="s">
        <v>97</v>
      </c>
      <c r="L21" s="8" t="s">
        <v>101</v>
      </c>
      <c r="M21" s="8" t="s">
        <v>36</v>
      </c>
      <c r="N21" s="8" t="s">
        <v>37</v>
      </c>
      <c r="O21" s="13">
        <v>46067.681944444441</v>
      </c>
      <c r="P21" s="13">
        <v>46067.684027777781</v>
      </c>
      <c r="Q21" s="14">
        <f t="shared" si="0"/>
        <v>3.000000009778887</v>
      </c>
      <c r="R21" s="13">
        <v>46067.684027777781</v>
      </c>
      <c r="S21" s="13">
        <v>46067.70416666667</v>
      </c>
      <c r="T21" s="14">
        <f t="shared" si="1"/>
        <v>29.000000000232831</v>
      </c>
      <c r="U21" s="14">
        <f t="shared" si="2"/>
        <v>32.000000010011718</v>
      </c>
      <c r="V21" s="12" t="s">
        <v>99</v>
      </c>
      <c r="W21" s="8" t="s">
        <v>39</v>
      </c>
      <c r="X21" s="15" t="s">
        <v>66</v>
      </c>
      <c r="Y21" s="15" t="s">
        <v>67</v>
      </c>
      <c r="Z21" s="15" t="s">
        <v>67</v>
      </c>
      <c r="AA21" s="8" t="s">
        <v>43</v>
      </c>
      <c r="AB21" s="8"/>
    </row>
    <row r="22" spans="1:28" ht="42.75" x14ac:dyDescent="0.2">
      <c r="A22" s="8">
        <v>21</v>
      </c>
      <c r="B22" s="8" t="s">
        <v>102</v>
      </c>
      <c r="C22" s="8" t="s">
        <v>28</v>
      </c>
      <c r="D22" s="9">
        <v>46068</v>
      </c>
      <c r="E22" s="8" t="s">
        <v>93</v>
      </c>
      <c r="F22" s="8" t="s">
        <v>30</v>
      </c>
      <c r="G22" s="10" t="s">
        <v>55</v>
      </c>
      <c r="H22" s="11" t="s">
        <v>103</v>
      </c>
      <c r="I22" s="12" t="s">
        <v>104</v>
      </c>
      <c r="J22" s="8"/>
      <c r="K22" s="8" t="s">
        <v>105</v>
      </c>
      <c r="L22" s="8" t="s">
        <v>106</v>
      </c>
      <c r="M22" s="8" t="s">
        <v>107</v>
      </c>
      <c r="N22" s="8" t="s">
        <v>37</v>
      </c>
      <c r="O22" s="13">
        <v>46068.300694444442</v>
      </c>
      <c r="P22" s="13">
        <v>46068.302083333336</v>
      </c>
      <c r="Q22" s="14">
        <f t="shared" si="0"/>
        <v>2.000000006519258</v>
      </c>
      <c r="R22" s="13">
        <v>46068.305555555555</v>
      </c>
      <c r="S22" s="13">
        <v>46068.366666666669</v>
      </c>
      <c r="T22" s="14">
        <f t="shared" si="1"/>
        <v>88.000000003958121</v>
      </c>
      <c r="U22" s="14">
        <f t="shared" si="2"/>
        <v>95.000000005820766</v>
      </c>
      <c r="V22" s="12" t="s">
        <v>108</v>
      </c>
      <c r="W22" s="8" t="s">
        <v>39</v>
      </c>
      <c r="X22" s="8" t="s">
        <v>40</v>
      </c>
      <c r="Y22" s="8" t="s">
        <v>41</v>
      </c>
      <c r="Z22" s="8" t="s">
        <v>42</v>
      </c>
      <c r="AA22" s="8" t="s">
        <v>43</v>
      </c>
      <c r="AB22" s="8"/>
    </row>
    <row r="23" spans="1:28" ht="28.5" x14ac:dyDescent="0.2">
      <c r="A23" s="8">
        <v>22</v>
      </c>
      <c r="B23" s="8" t="s">
        <v>109</v>
      </c>
      <c r="C23" s="8" t="s">
        <v>28</v>
      </c>
      <c r="D23" s="9">
        <v>46068</v>
      </c>
      <c r="E23" s="8" t="s">
        <v>93</v>
      </c>
      <c r="F23" s="8" t="s">
        <v>30</v>
      </c>
      <c r="G23" s="10" t="s">
        <v>55</v>
      </c>
      <c r="H23" s="11" t="s">
        <v>103</v>
      </c>
      <c r="I23" s="12" t="s">
        <v>45</v>
      </c>
      <c r="J23" s="8"/>
      <c r="K23" s="8" t="s">
        <v>46</v>
      </c>
      <c r="L23" s="8" t="s">
        <v>47</v>
      </c>
      <c r="M23" s="8" t="s">
        <v>36</v>
      </c>
      <c r="N23" s="8" t="s">
        <v>37</v>
      </c>
      <c r="O23" s="13">
        <v>46068.322222222225</v>
      </c>
      <c r="P23" s="13">
        <v>46068.323611111111</v>
      </c>
      <c r="Q23" s="14">
        <f t="shared" si="0"/>
        <v>1.9999999960418791</v>
      </c>
      <c r="R23" s="13">
        <v>46068.354861111111</v>
      </c>
      <c r="S23" s="13">
        <v>46068.504166666666</v>
      </c>
      <c r="T23" s="14">
        <f t="shared" si="1"/>
        <v>214.99999999883585</v>
      </c>
      <c r="U23" s="14">
        <f t="shared" si="2"/>
        <v>261.99999999487773</v>
      </c>
      <c r="V23" s="12" t="s">
        <v>110</v>
      </c>
      <c r="W23" s="8" t="s">
        <v>39</v>
      </c>
      <c r="X23" s="8" t="s">
        <v>40</v>
      </c>
      <c r="Y23" s="8" t="s">
        <v>41</v>
      </c>
      <c r="Z23" s="8" t="s">
        <v>42</v>
      </c>
      <c r="AA23" s="8" t="s">
        <v>43</v>
      </c>
      <c r="AB23" s="8"/>
    </row>
    <row r="24" spans="1:28" ht="28.5" x14ac:dyDescent="0.2">
      <c r="A24" s="8">
        <v>23</v>
      </c>
      <c r="B24" s="8" t="s">
        <v>111</v>
      </c>
      <c r="C24" s="8" t="s">
        <v>28</v>
      </c>
      <c r="D24" s="9">
        <v>46068</v>
      </c>
      <c r="E24" s="8" t="s">
        <v>112</v>
      </c>
      <c r="F24" s="8" t="s">
        <v>30</v>
      </c>
      <c r="G24" s="8" t="s">
        <v>60</v>
      </c>
      <c r="H24" s="11" t="s">
        <v>113</v>
      </c>
      <c r="I24" s="12" t="s">
        <v>114</v>
      </c>
      <c r="J24" s="8"/>
      <c r="K24" s="8" t="s">
        <v>115</v>
      </c>
      <c r="L24" s="8" t="s">
        <v>116</v>
      </c>
      <c r="M24" s="8" t="s">
        <v>107</v>
      </c>
      <c r="N24" s="8" t="s">
        <v>37</v>
      </c>
      <c r="O24" s="13">
        <v>46068.484722222223</v>
      </c>
      <c r="P24" s="13">
        <v>46068.490972222222</v>
      </c>
      <c r="Q24" s="14">
        <f t="shared" si="0"/>
        <v>8.9999999979045242</v>
      </c>
      <c r="R24" s="13">
        <v>46068.490972222222</v>
      </c>
      <c r="S24" s="13">
        <v>46068.547222222223</v>
      </c>
      <c r="T24" s="14">
        <f t="shared" si="1"/>
        <v>81.000000002095476</v>
      </c>
      <c r="U24" s="14">
        <f t="shared" si="2"/>
        <v>90</v>
      </c>
      <c r="V24" s="12" t="s">
        <v>117</v>
      </c>
      <c r="W24" s="8" t="s">
        <v>39</v>
      </c>
      <c r="X24" s="8" t="s">
        <v>66</v>
      </c>
      <c r="Y24" s="8" t="s">
        <v>67</v>
      </c>
      <c r="Z24" s="8" t="s">
        <v>67</v>
      </c>
      <c r="AA24" s="8" t="s">
        <v>43</v>
      </c>
      <c r="AB24" s="8"/>
    </row>
    <row r="25" spans="1:28" ht="28.5" x14ac:dyDescent="0.2">
      <c r="A25" s="8">
        <v>24</v>
      </c>
      <c r="B25" s="8" t="s">
        <v>118</v>
      </c>
      <c r="C25" s="8" t="s">
        <v>28</v>
      </c>
      <c r="D25" s="9">
        <v>46069</v>
      </c>
      <c r="E25" s="8" t="s">
        <v>119</v>
      </c>
      <c r="F25" s="8" t="s">
        <v>30</v>
      </c>
      <c r="G25" s="10" t="s">
        <v>55</v>
      </c>
      <c r="H25" s="11" t="s">
        <v>28</v>
      </c>
      <c r="I25" s="12" t="s">
        <v>120</v>
      </c>
      <c r="J25" s="8"/>
      <c r="K25" s="8" t="s">
        <v>29</v>
      </c>
      <c r="L25" s="8" t="s">
        <v>121</v>
      </c>
      <c r="M25" s="8" t="s">
        <v>29</v>
      </c>
      <c r="N25" s="8" t="s">
        <v>37</v>
      </c>
      <c r="O25" s="13">
        <v>46069.390972222223</v>
      </c>
      <c r="P25" s="13">
        <v>46069.39166666667</v>
      </c>
      <c r="Q25" s="14">
        <f t="shared" si="0"/>
        <v>1.000000003259629</v>
      </c>
      <c r="R25" s="13">
        <v>46069.39166666667</v>
      </c>
      <c r="S25" s="13">
        <v>46069.402777777781</v>
      </c>
      <c r="T25" s="14">
        <f t="shared" si="1"/>
        <v>15.999999999767169</v>
      </c>
      <c r="U25" s="14">
        <f t="shared" si="2"/>
        <v>17.000000003026798</v>
      </c>
      <c r="V25" s="12" t="s">
        <v>99</v>
      </c>
      <c r="W25" s="8" t="s">
        <v>39</v>
      </c>
      <c r="X25" s="8" t="s">
        <v>66</v>
      </c>
      <c r="Y25" s="8" t="s">
        <v>67</v>
      </c>
      <c r="Z25" s="8" t="s">
        <v>67</v>
      </c>
      <c r="AA25" s="8" t="s">
        <v>43</v>
      </c>
      <c r="AB25" s="8"/>
    </row>
    <row r="26" spans="1:28" ht="14.25" x14ac:dyDescent="0.2">
      <c r="A26" s="8">
        <v>25</v>
      </c>
      <c r="B26" s="8" t="s">
        <v>122</v>
      </c>
      <c r="C26" s="8" t="s">
        <v>28</v>
      </c>
      <c r="D26" s="9">
        <v>46070</v>
      </c>
      <c r="E26" s="8" t="s">
        <v>123</v>
      </c>
      <c r="F26" s="8" t="s">
        <v>124</v>
      </c>
      <c r="G26" s="10" t="s">
        <v>125</v>
      </c>
      <c r="H26" s="11" t="s">
        <v>126</v>
      </c>
      <c r="I26" s="12" t="s">
        <v>127</v>
      </c>
      <c r="J26" s="8"/>
      <c r="K26" s="8" t="s">
        <v>84</v>
      </c>
      <c r="L26" s="8" t="s">
        <v>128</v>
      </c>
      <c r="M26" s="8" t="s">
        <v>36</v>
      </c>
      <c r="N26" s="8" t="s">
        <v>37</v>
      </c>
      <c r="O26" s="13">
        <v>46070.692361111112</v>
      </c>
      <c r="P26" s="13">
        <v>46070.695138888892</v>
      </c>
      <c r="Q26" s="14">
        <f t="shared" si="0"/>
        <v>4.0000000025611371</v>
      </c>
      <c r="R26" s="13">
        <v>46070.709722222222</v>
      </c>
      <c r="S26" s="13">
        <v>46070.941666666666</v>
      </c>
      <c r="T26" s="14">
        <f t="shared" si="1"/>
        <v>333.99999999906868</v>
      </c>
      <c r="U26" s="14">
        <f t="shared" si="2"/>
        <v>358.99999999674037</v>
      </c>
      <c r="V26" s="12" t="s">
        <v>129</v>
      </c>
      <c r="W26" s="8" t="s">
        <v>39</v>
      </c>
      <c r="X26" s="8" t="s">
        <v>40</v>
      </c>
      <c r="Y26" s="8" t="s">
        <v>130</v>
      </c>
      <c r="Z26" s="8" t="s">
        <v>131</v>
      </c>
      <c r="AA26" s="8" t="s">
        <v>43</v>
      </c>
      <c r="AB26" s="8"/>
    </row>
    <row r="27" spans="1:28" ht="28.5" x14ac:dyDescent="0.2">
      <c r="A27" s="8">
        <v>26</v>
      </c>
      <c r="B27" s="8" t="s">
        <v>132</v>
      </c>
      <c r="C27" s="8" t="s">
        <v>28</v>
      </c>
      <c r="D27" s="9">
        <v>46073</v>
      </c>
      <c r="E27" s="8" t="s">
        <v>133</v>
      </c>
      <c r="F27" s="8" t="s">
        <v>30</v>
      </c>
      <c r="G27" s="8" t="s">
        <v>55</v>
      </c>
      <c r="H27" s="11" t="s">
        <v>134</v>
      </c>
      <c r="I27" s="12" t="s">
        <v>135</v>
      </c>
      <c r="J27" s="8"/>
      <c r="K27" s="8" t="s">
        <v>136</v>
      </c>
      <c r="L27" s="8" t="s">
        <v>137</v>
      </c>
      <c r="M27" s="8" t="s">
        <v>36</v>
      </c>
      <c r="N27" s="8" t="s">
        <v>37</v>
      </c>
      <c r="O27" s="13">
        <v>46073.189583333333</v>
      </c>
      <c r="P27" s="13">
        <v>46073.195833333331</v>
      </c>
      <c r="Q27" s="14">
        <f t="shared" si="0"/>
        <v>8.9999999979045242</v>
      </c>
      <c r="R27" s="13">
        <v>46073.284722222219</v>
      </c>
      <c r="S27" s="13">
        <v>46073.298611111109</v>
      </c>
      <c r="T27" s="14">
        <f t="shared" si="1"/>
        <v>20.000000002328306</v>
      </c>
      <c r="U27" s="14">
        <f t="shared" si="2"/>
        <v>156.99999999837019</v>
      </c>
      <c r="V27" s="12" t="s">
        <v>138</v>
      </c>
      <c r="W27" s="8" t="s">
        <v>39</v>
      </c>
      <c r="X27" s="8" t="s">
        <v>66</v>
      </c>
      <c r="Y27" s="8" t="s">
        <v>67</v>
      </c>
      <c r="Z27" s="8" t="s">
        <v>67</v>
      </c>
      <c r="AA27" s="8" t="s">
        <v>43</v>
      </c>
      <c r="AB27" s="8"/>
    </row>
    <row r="28" spans="1:28" ht="14.25" x14ac:dyDescent="0.2">
      <c r="A28" s="8">
        <v>27</v>
      </c>
      <c r="B28" s="8" t="s">
        <v>139</v>
      </c>
      <c r="C28" s="8" t="s">
        <v>28</v>
      </c>
      <c r="D28" s="9">
        <v>46073</v>
      </c>
      <c r="E28" s="8" t="s">
        <v>140</v>
      </c>
      <c r="F28" s="8" t="s">
        <v>30</v>
      </c>
      <c r="G28" s="8" t="s">
        <v>55</v>
      </c>
      <c r="H28" s="11" t="s">
        <v>141</v>
      </c>
      <c r="I28" s="12" t="s">
        <v>142</v>
      </c>
      <c r="J28" s="8"/>
      <c r="K28" s="8" t="s">
        <v>29</v>
      </c>
      <c r="L28" s="8" t="s">
        <v>29</v>
      </c>
      <c r="M28" s="8" t="s">
        <v>29</v>
      </c>
      <c r="N28" s="8" t="s">
        <v>37</v>
      </c>
      <c r="O28" s="13">
        <v>46073.366666666669</v>
      </c>
      <c r="P28" s="13">
        <v>46073.375</v>
      </c>
      <c r="Q28" s="14">
        <f t="shared" si="0"/>
        <v>11.999999997206032</v>
      </c>
      <c r="R28" s="13">
        <v>46073.375</v>
      </c>
      <c r="S28" s="13">
        <v>46073.37777777778</v>
      </c>
      <c r="T28" s="14">
        <f t="shared" si="1"/>
        <v>4.0000000025611371</v>
      </c>
      <c r="U28" s="14">
        <f t="shared" si="2"/>
        <v>15.999999999767169</v>
      </c>
      <c r="V28" s="12" t="s">
        <v>99</v>
      </c>
      <c r="W28" s="8" t="s">
        <v>39</v>
      </c>
      <c r="X28" s="8" t="s">
        <v>66</v>
      </c>
      <c r="Y28" s="8" t="s">
        <v>67</v>
      </c>
      <c r="Z28" s="8" t="s">
        <v>67</v>
      </c>
      <c r="AA28" s="8" t="s">
        <v>43</v>
      </c>
      <c r="AB28" s="8"/>
    </row>
    <row r="29" spans="1:28" ht="28.5" x14ac:dyDescent="0.2">
      <c r="A29" s="8">
        <v>28</v>
      </c>
      <c r="B29" s="8" t="s">
        <v>143</v>
      </c>
      <c r="C29" s="8" t="s">
        <v>28</v>
      </c>
      <c r="D29" s="9">
        <v>46074</v>
      </c>
      <c r="E29" s="8" t="s">
        <v>144</v>
      </c>
      <c r="F29" s="8" t="s">
        <v>145</v>
      </c>
      <c r="G29" s="8" t="s">
        <v>60</v>
      </c>
      <c r="H29" s="11" t="s">
        <v>146</v>
      </c>
      <c r="I29" s="12" t="s">
        <v>147</v>
      </c>
      <c r="J29" s="8" t="s">
        <v>29</v>
      </c>
      <c r="K29" s="8" t="s">
        <v>29</v>
      </c>
      <c r="L29" s="8" t="s">
        <v>29</v>
      </c>
      <c r="M29" s="8" t="s">
        <v>29</v>
      </c>
      <c r="N29" s="8" t="s">
        <v>37</v>
      </c>
      <c r="O29" s="13">
        <v>46074.51458333333</v>
      </c>
      <c r="P29" s="13">
        <v>46074.51666666667</v>
      </c>
      <c r="Q29" s="14">
        <f t="shared" si="0"/>
        <v>3.000000009778887</v>
      </c>
      <c r="R29" s="13">
        <v>46074.51666666667</v>
      </c>
      <c r="S29" s="13">
        <v>46074.68472222222</v>
      </c>
      <c r="T29" s="14">
        <f t="shared" si="1"/>
        <v>241.99999999254942</v>
      </c>
      <c r="U29" s="14">
        <f t="shared" si="2"/>
        <v>245.00000000232831</v>
      </c>
      <c r="V29" s="12" t="s">
        <v>148</v>
      </c>
      <c r="W29" s="8" t="s">
        <v>39</v>
      </c>
      <c r="X29" s="8" t="s">
        <v>40</v>
      </c>
      <c r="Y29" s="8" t="s">
        <v>41</v>
      </c>
      <c r="Z29" s="8" t="s">
        <v>149</v>
      </c>
      <c r="AA29" s="8" t="s">
        <v>43</v>
      </c>
      <c r="AB29" s="8"/>
    </row>
    <row r="30" spans="1:28" ht="28.5" x14ac:dyDescent="0.2">
      <c r="A30" s="8">
        <v>29</v>
      </c>
      <c r="B30" s="8" t="s">
        <v>150</v>
      </c>
      <c r="C30" s="8" t="s">
        <v>28</v>
      </c>
      <c r="D30" s="9">
        <v>46075</v>
      </c>
      <c r="E30" s="8" t="s">
        <v>151</v>
      </c>
      <c r="F30" s="8" t="s">
        <v>55</v>
      </c>
      <c r="G30" s="8" t="s">
        <v>55</v>
      </c>
      <c r="H30" s="11" t="s">
        <v>28</v>
      </c>
      <c r="I30" s="12" t="s">
        <v>152</v>
      </c>
      <c r="J30" s="8" t="s">
        <v>29</v>
      </c>
      <c r="K30" s="8" t="s">
        <v>29</v>
      </c>
      <c r="L30" s="8" t="s">
        <v>29</v>
      </c>
      <c r="M30" s="8" t="s">
        <v>29</v>
      </c>
      <c r="N30" s="8" t="s">
        <v>37</v>
      </c>
      <c r="O30" s="13">
        <v>46075.439004629632</v>
      </c>
      <c r="P30" s="13">
        <v>46075.440972222219</v>
      </c>
      <c r="Q30" s="14">
        <f t="shared" si="0"/>
        <v>2.8333333251066506</v>
      </c>
      <c r="R30" s="13">
        <v>46075.440972222219</v>
      </c>
      <c r="S30" s="13">
        <v>46075.447222222225</v>
      </c>
      <c r="T30" s="14">
        <f t="shared" si="1"/>
        <v>9.0000000083819032</v>
      </c>
      <c r="U30" s="14">
        <f t="shared" si="2"/>
        <v>11.833333333488554</v>
      </c>
      <c r="V30" s="12" t="s">
        <v>153</v>
      </c>
      <c r="W30" s="8" t="s">
        <v>39</v>
      </c>
      <c r="X30" s="8" t="s">
        <v>66</v>
      </c>
      <c r="Y30" s="8" t="s">
        <v>67</v>
      </c>
      <c r="Z30" s="8" t="s">
        <v>67</v>
      </c>
      <c r="AA30" s="8" t="s">
        <v>43</v>
      </c>
      <c r="AB30" s="8"/>
    </row>
    <row r="31" spans="1:28" ht="28.5" x14ac:dyDescent="0.2">
      <c r="A31" s="8">
        <v>30</v>
      </c>
      <c r="B31" s="8" t="s">
        <v>154</v>
      </c>
      <c r="C31" s="8" t="s">
        <v>28</v>
      </c>
      <c r="D31" s="9">
        <v>46075</v>
      </c>
      <c r="E31" s="8" t="s">
        <v>155</v>
      </c>
      <c r="F31" s="8" t="s">
        <v>60</v>
      </c>
      <c r="G31" s="8" t="s">
        <v>60</v>
      </c>
      <c r="H31" s="11" t="s">
        <v>156</v>
      </c>
      <c r="I31" s="12" t="s">
        <v>157</v>
      </c>
      <c r="J31" s="8" t="s">
        <v>29</v>
      </c>
      <c r="K31" s="8" t="s">
        <v>29</v>
      </c>
      <c r="L31" s="8" t="s">
        <v>29</v>
      </c>
      <c r="M31" s="8" t="s">
        <v>29</v>
      </c>
      <c r="N31" s="8" t="s">
        <v>37</v>
      </c>
      <c r="O31" s="13">
        <v>46075.494155092594</v>
      </c>
      <c r="P31" s="13">
        <v>46075.494849537034</v>
      </c>
      <c r="Q31" s="14">
        <f t="shared" si="0"/>
        <v>0.99999999278225005</v>
      </c>
      <c r="R31" s="13">
        <v>46075.494155092594</v>
      </c>
      <c r="S31" s="13">
        <v>46075.501967592594</v>
      </c>
      <c r="T31" s="14">
        <f t="shared" si="1"/>
        <v>11.25</v>
      </c>
      <c r="U31" s="14">
        <f t="shared" si="2"/>
        <v>11.25</v>
      </c>
      <c r="V31" s="12" t="s">
        <v>158</v>
      </c>
      <c r="W31" s="8" t="s">
        <v>39</v>
      </c>
      <c r="X31" s="8" t="s">
        <v>40</v>
      </c>
      <c r="Y31" s="8" t="s">
        <v>41</v>
      </c>
      <c r="Z31" s="8" t="s">
        <v>159</v>
      </c>
      <c r="AA31" s="8" t="s">
        <v>43</v>
      </c>
      <c r="AB31" s="8"/>
    </row>
    <row r="32" spans="1:28" ht="14.25" x14ac:dyDescent="0.2">
      <c r="A32" s="8">
        <v>31</v>
      </c>
      <c r="B32" s="8" t="s">
        <v>160</v>
      </c>
      <c r="C32" s="8" t="s">
        <v>28</v>
      </c>
      <c r="D32" s="9">
        <v>46075</v>
      </c>
      <c r="E32" s="8" t="s">
        <v>161</v>
      </c>
      <c r="F32" s="8" t="s">
        <v>162</v>
      </c>
      <c r="G32" s="8" t="s">
        <v>163</v>
      </c>
      <c r="H32" s="11" t="s">
        <v>164</v>
      </c>
      <c r="I32" s="12" t="s">
        <v>165</v>
      </c>
      <c r="J32" s="8" t="s">
        <v>29</v>
      </c>
      <c r="K32" s="8" t="s">
        <v>166</v>
      </c>
      <c r="L32" s="8" t="s">
        <v>167</v>
      </c>
      <c r="M32" s="8" t="s">
        <v>107</v>
      </c>
      <c r="N32" s="8" t="s">
        <v>37</v>
      </c>
      <c r="O32" s="13">
        <v>46075.454513888886</v>
      </c>
      <c r="P32" s="13">
        <v>46075.454513888886</v>
      </c>
      <c r="Q32" s="14">
        <f t="shared" si="0"/>
        <v>0</v>
      </c>
      <c r="R32" s="13">
        <v>46075.454513888886</v>
      </c>
      <c r="S32" s="13">
        <v>46075.641319444447</v>
      </c>
      <c r="T32" s="14">
        <f t="shared" si="1"/>
        <v>269.00000000721775</v>
      </c>
      <c r="U32" s="14">
        <f t="shared" si="2"/>
        <v>269.00000000721775</v>
      </c>
      <c r="V32" s="12" t="s">
        <v>168</v>
      </c>
      <c r="W32" s="8" t="s">
        <v>39</v>
      </c>
      <c r="X32" s="8" t="s">
        <v>66</v>
      </c>
      <c r="Y32" s="8" t="s">
        <v>67</v>
      </c>
      <c r="Z32" s="8" t="s">
        <v>67</v>
      </c>
      <c r="AA32" s="8" t="s">
        <v>43</v>
      </c>
      <c r="AB32" s="8"/>
    </row>
    <row r="33" spans="1:28" ht="14.25" x14ac:dyDescent="0.2">
      <c r="A33" s="8">
        <v>32</v>
      </c>
      <c r="B33" s="8" t="s">
        <v>169</v>
      </c>
      <c r="C33" s="8" t="s">
        <v>28</v>
      </c>
      <c r="D33" s="9">
        <v>46076</v>
      </c>
      <c r="E33" s="8" t="s">
        <v>170</v>
      </c>
      <c r="F33" s="8" t="s">
        <v>171</v>
      </c>
      <c r="G33" s="8" t="s">
        <v>172</v>
      </c>
      <c r="H33" s="11" t="s">
        <v>173</v>
      </c>
      <c r="I33" s="12" t="s">
        <v>174</v>
      </c>
      <c r="J33" s="8" t="s">
        <v>29</v>
      </c>
      <c r="K33" s="8" t="s">
        <v>29</v>
      </c>
      <c r="L33" s="8" t="s">
        <v>29</v>
      </c>
      <c r="M33" s="8" t="s">
        <v>29</v>
      </c>
      <c r="N33" s="8" t="s">
        <v>37</v>
      </c>
      <c r="O33" s="13">
        <v>46076.603125000001</v>
      </c>
      <c r="P33" s="13">
        <v>46076.604513888888</v>
      </c>
      <c r="Q33" s="14">
        <f t="shared" si="0"/>
        <v>1.9999999960418791</v>
      </c>
      <c r="R33" s="13">
        <v>46076.604513888888</v>
      </c>
      <c r="S33" s="13">
        <v>46076.610069444447</v>
      </c>
      <c r="T33" s="14">
        <f t="shared" si="1"/>
        <v>8.0000000051222742</v>
      </c>
      <c r="U33" s="14">
        <f t="shared" si="2"/>
        <v>10.000000001164153</v>
      </c>
      <c r="V33" s="12" t="s">
        <v>153</v>
      </c>
      <c r="W33" s="8" t="s">
        <v>39</v>
      </c>
      <c r="X33" s="8" t="s">
        <v>66</v>
      </c>
      <c r="Y33" s="8" t="s">
        <v>67</v>
      </c>
      <c r="Z33" s="8" t="s">
        <v>67</v>
      </c>
      <c r="AA33" s="8" t="s">
        <v>43</v>
      </c>
      <c r="AB33" s="8"/>
    </row>
    <row r="34" spans="1:28" ht="28.5" x14ac:dyDescent="0.2">
      <c r="A34" s="8">
        <v>33</v>
      </c>
      <c r="B34" s="8" t="s">
        <v>175</v>
      </c>
      <c r="C34" s="8" t="s">
        <v>28</v>
      </c>
      <c r="D34" s="9">
        <v>46077</v>
      </c>
      <c r="E34" s="8" t="s">
        <v>176</v>
      </c>
      <c r="F34" s="8" t="s">
        <v>55</v>
      </c>
      <c r="G34" s="8" t="s">
        <v>55</v>
      </c>
      <c r="H34" s="11" t="s">
        <v>177</v>
      </c>
      <c r="I34" s="12" t="s">
        <v>178</v>
      </c>
      <c r="J34" s="8" t="s">
        <v>29</v>
      </c>
      <c r="K34" s="8" t="s">
        <v>179</v>
      </c>
      <c r="L34" s="8" t="s">
        <v>180</v>
      </c>
      <c r="M34" s="8" t="s">
        <v>36</v>
      </c>
      <c r="N34" s="8" t="s">
        <v>37</v>
      </c>
      <c r="O34" s="13">
        <v>46077.157986111109</v>
      </c>
      <c r="P34" s="13">
        <v>46077.161458333336</v>
      </c>
      <c r="Q34" s="14">
        <f t="shared" si="0"/>
        <v>5.0000000058207661</v>
      </c>
      <c r="R34" s="13">
        <v>46077.208680555559</v>
      </c>
      <c r="S34" s="13">
        <v>46077.222222222219</v>
      </c>
      <c r="T34" s="14">
        <f t="shared" si="1"/>
        <v>19.499999990221113</v>
      </c>
      <c r="U34" s="14">
        <f t="shared" si="2"/>
        <v>92.499999997671694</v>
      </c>
      <c r="V34" s="12" t="s">
        <v>181</v>
      </c>
      <c r="W34" s="8" t="s">
        <v>39</v>
      </c>
      <c r="X34" s="8" t="s">
        <v>66</v>
      </c>
      <c r="Y34" s="8" t="s">
        <v>67</v>
      </c>
      <c r="Z34" s="8" t="s">
        <v>67</v>
      </c>
      <c r="AA34" s="8" t="s">
        <v>43</v>
      </c>
      <c r="AB34" s="8"/>
    </row>
    <row r="35" spans="1:28" ht="28.5" x14ac:dyDescent="0.2">
      <c r="A35" s="8">
        <v>34</v>
      </c>
      <c r="B35" s="8" t="s">
        <v>182</v>
      </c>
      <c r="C35" s="8" t="s">
        <v>28</v>
      </c>
      <c r="D35" s="9">
        <v>46077</v>
      </c>
      <c r="E35" s="8" t="s">
        <v>183</v>
      </c>
      <c r="F35" s="12" t="s">
        <v>184</v>
      </c>
      <c r="G35" s="8" t="s">
        <v>55</v>
      </c>
      <c r="H35" s="11" t="s">
        <v>28</v>
      </c>
      <c r="I35" s="12" t="s">
        <v>185</v>
      </c>
      <c r="J35" s="8" t="s">
        <v>29</v>
      </c>
      <c r="K35" s="8" t="s">
        <v>29</v>
      </c>
      <c r="L35" s="8" t="s">
        <v>29</v>
      </c>
      <c r="M35" s="8" t="s">
        <v>29</v>
      </c>
      <c r="N35" s="8" t="s">
        <v>37</v>
      </c>
      <c r="O35" s="13">
        <v>46077.432962962965</v>
      </c>
      <c r="P35" s="13">
        <v>46077.43712962963</v>
      </c>
      <c r="Q35" s="14">
        <f t="shared" si="0"/>
        <v>5.9999999986030161</v>
      </c>
      <c r="R35" s="13">
        <v>46077.43712962963</v>
      </c>
      <c r="S35" s="13">
        <v>46077.448437500003</v>
      </c>
      <c r="T35" s="14">
        <f t="shared" si="1"/>
        <v>16.283333336468786</v>
      </c>
      <c r="U35" s="14">
        <f t="shared" si="2"/>
        <v>22.283333335071802</v>
      </c>
      <c r="V35" s="12" t="s">
        <v>158</v>
      </c>
      <c r="W35" s="8" t="s">
        <v>39</v>
      </c>
      <c r="X35" s="8" t="s">
        <v>66</v>
      </c>
      <c r="Y35" s="8" t="s">
        <v>67</v>
      </c>
      <c r="Z35" s="8" t="s">
        <v>67</v>
      </c>
      <c r="AA35" s="8" t="s">
        <v>43</v>
      </c>
      <c r="AB35" s="8"/>
    </row>
    <row r="36" spans="1:28" ht="14.25" x14ac:dyDescent="0.2">
      <c r="A36" s="8">
        <v>35</v>
      </c>
      <c r="B36" s="8" t="s">
        <v>186</v>
      </c>
      <c r="C36" s="8" t="s">
        <v>28</v>
      </c>
      <c r="D36" s="9">
        <v>46077</v>
      </c>
      <c r="E36" s="8" t="s">
        <v>183</v>
      </c>
      <c r="F36" s="8" t="s">
        <v>60</v>
      </c>
      <c r="G36" s="8" t="s">
        <v>60</v>
      </c>
      <c r="H36" s="11" t="s">
        <v>28</v>
      </c>
      <c r="I36" s="12" t="s">
        <v>187</v>
      </c>
      <c r="J36" s="8" t="s">
        <v>29</v>
      </c>
      <c r="K36" s="8" t="s">
        <v>29</v>
      </c>
      <c r="L36" s="8" t="s">
        <v>29</v>
      </c>
      <c r="M36" s="8" t="s">
        <v>29</v>
      </c>
      <c r="N36" s="8" t="s">
        <v>37</v>
      </c>
      <c r="O36" s="13">
        <v>46077.49119212963</v>
      </c>
      <c r="P36" s="13">
        <v>46077.49119212963</v>
      </c>
      <c r="Q36" s="14">
        <f t="shared" si="0"/>
        <v>0</v>
      </c>
      <c r="R36" s="13">
        <v>46077.49119212963</v>
      </c>
      <c r="S36" s="13">
        <v>46077.508368055554</v>
      </c>
      <c r="T36" s="14">
        <f t="shared" si="1"/>
        <v>24.733333331532776</v>
      </c>
      <c r="U36" s="14">
        <f t="shared" si="2"/>
        <v>24.733333331532776</v>
      </c>
      <c r="V36" s="12" t="s">
        <v>158</v>
      </c>
      <c r="W36" s="8" t="s">
        <v>39</v>
      </c>
      <c r="X36" s="8" t="s">
        <v>66</v>
      </c>
      <c r="Y36" s="8" t="s">
        <v>67</v>
      </c>
      <c r="Z36" s="8" t="s">
        <v>67</v>
      </c>
      <c r="AA36" s="8" t="s">
        <v>43</v>
      </c>
      <c r="AB36" s="8"/>
    </row>
    <row r="37" spans="1:28" ht="14.25" x14ac:dyDescent="0.2">
      <c r="A37" s="8">
        <v>36</v>
      </c>
      <c r="B37" s="8" t="s">
        <v>188</v>
      </c>
      <c r="C37" s="8" t="s">
        <v>28</v>
      </c>
      <c r="D37" s="9">
        <v>46077</v>
      </c>
      <c r="E37" s="8" t="s">
        <v>189</v>
      </c>
      <c r="F37" s="8" t="s">
        <v>171</v>
      </c>
      <c r="G37" s="8" t="s">
        <v>190</v>
      </c>
      <c r="H37" s="11" t="s">
        <v>173</v>
      </c>
      <c r="I37" s="12" t="s">
        <v>174</v>
      </c>
      <c r="J37" s="8" t="s">
        <v>29</v>
      </c>
      <c r="K37" s="8" t="s">
        <v>191</v>
      </c>
      <c r="L37" s="8" t="s">
        <v>192</v>
      </c>
      <c r="M37" s="8" t="s">
        <v>36</v>
      </c>
      <c r="N37" s="8" t="s">
        <v>37</v>
      </c>
      <c r="O37" s="13">
        <v>46077.548136574071</v>
      </c>
      <c r="P37" s="13">
        <v>46077.548831018517</v>
      </c>
      <c r="Q37" s="14">
        <f t="shared" si="0"/>
        <v>1.000000003259629</v>
      </c>
      <c r="R37" s="13">
        <v>46077.562719907408</v>
      </c>
      <c r="S37" s="13">
        <v>46077.639803240738</v>
      </c>
      <c r="T37" s="14">
        <f t="shared" si="1"/>
        <v>110.99999999511056</v>
      </c>
      <c r="U37" s="14">
        <f t="shared" si="2"/>
        <v>132.00000000069849</v>
      </c>
      <c r="V37" s="12" t="s">
        <v>193</v>
      </c>
      <c r="W37" s="8" t="s">
        <v>39</v>
      </c>
      <c r="X37" s="8" t="s">
        <v>66</v>
      </c>
      <c r="Y37" s="8" t="s">
        <v>67</v>
      </c>
      <c r="Z37" s="8" t="s">
        <v>67</v>
      </c>
      <c r="AA37" s="8" t="s">
        <v>43</v>
      </c>
      <c r="AB37" s="8"/>
    </row>
    <row r="38" spans="1:28" ht="57" x14ac:dyDescent="0.2">
      <c r="A38" s="8">
        <v>37</v>
      </c>
      <c r="B38" s="8" t="s">
        <v>194</v>
      </c>
      <c r="C38" s="8" t="s">
        <v>28</v>
      </c>
      <c r="D38" s="9">
        <v>46078</v>
      </c>
      <c r="E38" s="8" t="s">
        <v>151</v>
      </c>
      <c r="F38" s="12" t="s">
        <v>184</v>
      </c>
      <c r="G38" s="8" t="s">
        <v>195</v>
      </c>
      <c r="H38" s="11" t="s">
        <v>196</v>
      </c>
      <c r="I38" s="12" t="s">
        <v>197</v>
      </c>
      <c r="J38" s="8" t="s">
        <v>29</v>
      </c>
      <c r="K38" s="8" t="s">
        <v>198</v>
      </c>
      <c r="L38" s="8" t="s">
        <v>199</v>
      </c>
      <c r="M38" s="8" t="s">
        <v>36</v>
      </c>
      <c r="N38" s="8" t="s">
        <v>37</v>
      </c>
      <c r="O38" s="13">
        <v>46078.342233796298</v>
      </c>
      <c r="P38" s="13">
        <v>46078.342928240738</v>
      </c>
      <c r="Q38" s="14">
        <f t="shared" si="0"/>
        <v>0.99999999278225005</v>
      </c>
      <c r="R38" s="13">
        <v>46078.372789351852</v>
      </c>
      <c r="S38" s="13">
        <v>46078.430601851855</v>
      </c>
      <c r="T38" s="14">
        <f t="shared" si="1"/>
        <v>83.250000004190952</v>
      </c>
      <c r="U38" s="14">
        <f t="shared" si="2"/>
        <v>127.25000000093132</v>
      </c>
      <c r="V38" s="12" t="s">
        <v>200</v>
      </c>
      <c r="W38" s="8" t="s">
        <v>39</v>
      </c>
      <c r="X38" s="8" t="s">
        <v>66</v>
      </c>
      <c r="Y38" s="8" t="s">
        <v>67</v>
      </c>
      <c r="Z38" s="8" t="s">
        <v>67</v>
      </c>
      <c r="AA38" s="8" t="s">
        <v>43</v>
      </c>
      <c r="AB38" s="8"/>
    </row>
    <row r="39" spans="1:28" ht="57" x14ac:dyDescent="0.2">
      <c r="A39" s="8">
        <v>38</v>
      </c>
      <c r="B39" s="8" t="s">
        <v>201</v>
      </c>
      <c r="C39" s="8" t="s">
        <v>28</v>
      </c>
      <c r="D39" s="9">
        <v>46079</v>
      </c>
      <c r="E39" s="8" t="s">
        <v>151</v>
      </c>
      <c r="F39" s="8" t="s">
        <v>60</v>
      </c>
      <c r="G39" s="8" t="s">
        <v>60</v>
      </c>
      <c r="H39" s="12" t="s">
        <v>202</v>
      </c>
      <c r="I39" s="12" t="s">
        <v>203</v>
      </c>
      <c r="J39" s="8" t="s">
        <v>29</v>
      </c>
      <c r="K39" s="8" t="s">
        <v>204</v>
      </c>
      <c r="L39" s="8" t="s">
        <v>205</v>
      </c>
      <c r="M39" s="8" t="s">
        <v>36</v>
      </c>
      <c r="N39" s="8" t="s">
        <v>37</v>
      </c>
      <c r="O39" s="13">
        <v>46079.336284722223</v>
      </c>
      <c r="P39" s="13">
        <v>46079.337673611109</v>
      </c>
      <c r="Q39" s="14">
        <f t="shared" si="0"/>
        <v>1.9999999960418791</v>
      </c>
      <c r="R39" s="13">
        <v>46079.336284722223</v>
      </c>
      <c r="S39" s="13">
        <v>46079.362511574072</v>
      </c>
      <c r="T39" s="14">
        <f t="shared" si="1"/>
        <v>37.766666662646458</v>
      </c>
      <c r="U39" s="14">
        <f t="shared" si="2"/>
        <v>37.766666662646458</v>
      </c>
      <c r="V39" s="12" t="s">
        <v>206</v>
      </c>
      <c r="W39" s="8" t="s">
        <v>39</v>
      </c>
      <c r="X39" s="8" t="s">
        <v>40</v>
      </c>
      <c r="Y39" s="8" t="s">
        <v>41</v>
      </c>
      <c r="Z39" s="8" t="s">
        <v>207</v>
      </c>
      <c r="AA39" s="8" t="s">
        <v>43</v>
      </c>
      <c r="AB39" s="8"/>
    </row>
    <row r="40" spans="1:28" ht="28.5" x14ac:dyDescent="0.2">
      <c r="A40" s="8">
        <v>39</v>
      </c>
      <c r="B40" s="10" t="s">
        <v>208</v>
      </c>
      <c r="C40" s="8" t="s">
        <v>28</v>
      </c>
      <c r="D40" s="9">
        <v>46079</v>
      </c>
      <c r="E40" s="8" t="s">
        <v>151</v>
      </c>
      <c r="F40" s="8" t="s">
        <v>60</v>
      </c>
      <c r="G40" s="8" t="s">
        <v>60</v>
      </c>
      <c r="H40" s="12" t="s">
        <v>209</v>
      </c>
      <c r="I40" s="12" t="s">
        <v>45</v>
      </c>
      <c r="J40" s="8" t="s">
        <v>29</v>
      </c>
      <c r="K40" s="8" t="s">
        <v>46</v>
      </c>
      <c r="L40" s="8" t="s">
        <v>47</v>
      </c>
      <c r="M40" s="8" t="s">
        <v>36</v>
      </c>
      <c r="N40" s="8" t="s">
        <v>37</v>
      </c>
      <c r="O40" s="13">
        <v>46079.349780092591</v>
      </c>
      <c r="P40" s="13">
        <v>46079.351168981484</v>
      </c>
      <c r="Q40" s="14">
        <f t="shared" si="0"/>
        <v>2.000000006519258</v>
      </c>
      <c r="R40" s="13">
        <v>46079.351168981484</v>
      </c>
      <c r="S40" s="13">
        <v>46079.365752314814</v>
      </c>
      <c r="T40" s="14">
        <f t="shared" si="1"/>
        <v>20.999999995110556</v>
      </c>
      <c r="U40" s="14">
        <f t="shared" si="2"/>
        <v>23.000000001629815</v>
      </c>
      <c r="V40" s="12" t="s">
        <v>210</v>
      </c>
      <c r="W40" s="8" t="s">
        <v>39</v>
      </c>
      <c r="X40" s="8" t="s">
        <v>66</v>
      </c>
      <c r="Y40" s="8" t="s">
        <v>67</v>
      </c>
      <c r="Z40" s="8" t="s">
        <v>67</v>
      </c>
      <c r="AA40" s="8" t="s">
        <v>43</v>
      </c>
      <c r="AB40" s="8"/>
    </row>
    <row r="41" spans="1:28" ht="28.5" x14ac:dyDescent="0.2">
      <c r="A41" s="8">
        <v>40</v>
      </c>
      <c r="B41" s="10" t="s">
        <v>211</v>
      </c>
      <c r="C41" s="8" t="s">
        <v>28</v>
      </c>
      <c r="D41" s="9">
        <v>46079</v>
      </c>
      <c r="E41" s="8" t="s">
        <v>151</v>
      </c>
      <c r="F41" s="8" t="s">
        <v>60</v>
      </c>
      <c r="G41" s="8" t="s">
        <v>60</v>
      </c>
      <c r="H41" s="12" t="s">
        <v>212</v>
      </c>
      <c r="I41" s="12" t="s">
        <v>213</v>
      </c>
      <c r="J41" s="8" t="s">
        <v>29</v>
      </c>
      <c r="K41" s="8" t="s">
        <v>204</v>
      </c>
      <c r="L41" s="8" t="s">
        <v>214</v>
      </c>
      <c r="M41" s="8" t="s">
        <v>36</v>
      </c>
      <c r="N41" s="8" t="s">
        <v>37</v>
      </c>
      <c r="O41" s="13">
        <v>46079.376342592594</v>
      </c>
      <c r="P41" s="13">
        <v>46079.37773148148</v>
      </c>
      <c r="Q41" s="14">
        <f t="shared" si="0"/>
        <v>1.9999999960418791</v>
      </c>
      <c r="R41" s="13">
        <v>46079.382592592592</v>
      </c>
      <c r="S41" s="13">
        <v>46079.392314814817</v>
      </c>
      <c r="T41" s="14">
        <f t="shared" si="1"/>
        <v>14.00000000372529</v>
      </c>
      <c r="U41" s="14">
        <f t="shared" si="2"/>
        <v>23.000000001629815</v>
      </c>
      <c r="V41" s="12" t="s">
        <v>215</v>
      </c>
      <c r="W41" s="8" t="s">
        <v>39</v>
      </c>
      <c r="X41" s="8" t="s">
        <v>66</v>
      </c>
      <c r="Y41" s="8" t="s">
        <v>67</v>
      </c>
      <c r="Z41" s="8" t="s">
        <v>67</v>
      </c>
      <c r="AA41" s="8" t="s">
        <v>43</v>
      </c>
      <c r="AB41" s="8"/>
    </row>
    <row r="42" spans="1:28" ht="28.5" x14ac:dyDescent="0.2">
      <c r="A42" s="8">
        <v>41</v>
      </c>
      <c r="B42" s="10" t="s">
        <v>216</v>
      </c>
      <c r="C42" s="8" t="s">
        <v>28</v>
      </c>
      <c r="D42" s="9">
        <v>46079</v>
      </c>
      <c r="E42" s="8" t="s">
        <v>151</v>
      </c>
      <c r="F42" s="8" t="s">
        <v>60</v>
      </c>
      <c r="G42" s="8" t="s">
        <v>60</v>
      </c>
      <c r="H42" s="12" t="s">
        <v>217</v>
      </c>
      <c r="I42" s="12" t="s">
        <v>218</v>
      </c>
      <c r="J42" s="8" t="s">
        <v>29</v>
      </c>
      <c r="K42" s="8" t="s">
        <v>77</v>
      </c>
      <c r="L42" s="8" t="s">
        <v>219</v>
      </c>
      <c r="M42" s="8" t="s">
        <v>36</v>
      </c>
      <c r="N42" s="8" t="s">
        <v>37</v>
      </c>
      <c r="O42" s="13">
        <v>46079.431469907409</v>
      </c>
      <c r="P42" s="13">
        <v>46079.431469907409</v>
      </c>
      <c r="Q42" s="14">
        <f t="shared" si="0"/>
        <v>0</v>
      </c>
      <c r="R42" s="13">
        <v>46079.437025462961</v>
      </c>
      <c r="S42" s="13">
        <v>46079.448136574072</v>
      </c>
      <c r="T42" s="14">
        <f t="shared" si="1"/>
        <v>15.999999999767169</v>
      </c>
      <c r="U42" s="14">
        <f t="shared" si="2"/>
        <v>23.999999994412065</v>
      </c>
      <c r="V42" s="12" t="s">
        <v>215</v>
      </c>
      <c r="W42" s="8" t="s">
        <v>39</v>
      </c>
      <c r="X42" s="8" t="s">
        <v>66</v>
      </c>
      <c r="Y42" s="8" t="s">
        <v>67</v>
      </c>
      <c r="Z42" s="8" t="s">
        <v>67</v>
      </c>
      <c r="AA42" s="8" t="s">
        <v>43</v>
      </c>
      <c r="AB42" s="8"/>
    </row>
    <row r="43" spans="1:28" ht="85.5" x14ac:dyDescent="0.2">
      <c r="A43" s="8">
        <v>42</v>
      </c>
      <c r="B43" s="8" t="s">
        <v>220</v>
      </c>
      <c r="C43" s="8" t="s">
        <v>28</v>
      </c>
      <c r="D43" s="9">
        <v>46079</v>
      </c>
      <c r="E43" s="8" t="s">
        <v>151</v>
      </c>
      <c r="F43" s="12" t="s">
        <v>184</v>
      </c>
      <c r="G43" s="12" t="s">
        <v>184</v>
      </c>
      <c r="H43" s="12" t="s">
        <v>221</v>
      </c>
      <c r="I43" s="12" t="s">
        <v>222</v>
      </c>
      <c r="J43" s="8" t="s">
        <v>29</v>
      </c>
      <c r="K43" s="8" t="s">
        <v>29</v>
      </c>
      <c r="L43" s="8" t="s">
        <v>29</v>
      </c>
      <c r="M43" s="8" t="s">
        <v>29</v>
      </c>
      <c r="N43" s="8" t="s">
        <v>37</v>
      </c>
      <c r="O43" s="13">
        <v>46079.438402777778</v>
      </c>
      <c r="P43" s="13">
        <v>46079.438402777778</v>
      </c>
      <c r="Q43" s="14">
        <f t="shared" si="0"/>
        <v>0</v>
      </c>
      <c r="R43" s="13">
        <v>46079.438402777778</v>
      </c>
      <c r="S43" s="13">
        <v>46079.482974537037</v>
      </c>
      <c r="T43" s="14">
        <f t="shared" si="1"/>
        <v>64.183333333348855</v>
      </c>
      <c r="U43" s="14">
        <f t="shared" si="2"/>
        <v>64.183333333348855</v>
      </c>
      <c r="V43" s="12" t="s">
        <v>223</v>
      </c>
      <c r="W43" s="8" t="s">
        <v>39</v>
      </c>
      <c r="X43" s="15" t="s">
        <v>40</v>
      </c>
      <c r="Y43" s="15" t="s">
        <v>41</v>
      </c>
      <c r="Z43" s="15" t="s">
        <v>53</v>
      </c>
      <c r="AA43" s="8" t="s">
        <v>43</v>
      </c>
      <c r="AB43" s="8"/>
    </row>
    <row r="44" spans="1:28" ht="28.5" x14ac:dyDescent="0.2">
      <c r="A44" s="8">
        <v>43</v>
      </c>
      <c r="B44" s="16" t="s">
        <v>224</v>
      </c>
      <c r="C44" s="16" t="s">
        <v>28</v>
      </c>
      <c r="D44" s="9">
        <v>46080</v>
      </c>
      <c r="E44" s="15" t="s">
        <v>225</v>
      </c>
      <c r="F44" s="15" t="s">
        <v>226</v>
      </c>
      <c r="G44" s="15" t="s">
        <v>227</v>
      </c>
      <c r="H44" s="15" t="s">
        <v>228</v>
      </c>
      <c r="I44" s="15" t="s">
        <v>229</v>
      </c>
      <c r="J44" s="16" t="s">
        <v>29</v>
      </c>
      <c r="K44" s="16" t="s">
        <v>230</v>
      </c>
      <c r="L44" s="8" t="s">
        <v>231</v>
      </c>
      <c r="M44" s="8" t="s">
        <v>36</v>
      </c>
      <c r="N44" s="8" t="s">
        <v>37</v>
      </c>
      <c r="O44" s="13">
        <v>46080.50576388889</v>
      </c>
      <c r="P44" s="13">
        <v>46080.507847222223</v>
      </c>
      <c r="Q44" s="14">
        <f t="shared" si="0"/>
        <v>2.9999999993015081</v>
      </c>
      <c r="R44" s="13">
        <v>46080.507847222223</v>
      </c>
      <c r="S44" s="13">
        <v>46080.649513888886</v>
      </c>
      <c r="T44" s="14">
        <f t="shared" si="1"/>
        <v>203.99999999441206</v>
      </c>
      <c r="U44" s="14">
        <f t="shared" si="2"/>
        <v>206.99999999371357</v>
      </c>
      <c r="V44" s="17" t="s">
        <v>232</v>
      </c>
      <c r="W44" s="16" t="s">
        <v>39</v>
      </c>
      <c r="X44" s="8" t="s">
        <v>66</v>
      </c>
      <c r="Y44" s="16" t="s">
        <v>67</v>
      </c>
      <c r="Z44" s="8" t="s">
        <v>67</v>
      </c>
      <c r="AA44" s="8" t="s">
        <v>43</v>
      </c>
      <c r="AB44" s="8"/>
    </row>
    <row r="45" spans="1:28" ht="14.25" x14ac:dyDescent="0.2">
      <c r="A45" s="8">
        <v>44</v>
      </c>
      <c r="B45" s="16" t="s">
        <v>233</v>
      </c>
      <c r="C45" s="16" t="s">
        <v>28</v>
      </c>
      <c r="D45" s="9">
        <v>46081</v>
      </c>
      <c r="E45" s="15" t="s">
        <v>183</v>
      </c>
      <c r="F45" s="15" t="s">
        <v>60</v>
      </c>
      <c r="G45" s="15" t="s">
        <v>60</v>
      </c>
      <c r="H45" s="11" t="s">
        <v>28</v>
      </c>
      <c r="I45" s="8" t="s">
        <v>234</v>
      </c>
      <c r="J45" s="16" t="s">
        <v>29</v>
      </c>
      <c r="K45" s="16" t="s">
        <v>29</v>
      </c>
      <c r="L45" s="16" t="s">
        <v>29</v>
      </c>
      <c r="M45" s="16" t="s">
        <v>29</v>
      </c>
      <c r="N45" s="8" t="s">
        <v>37</v>
      </c>
      <c r="O45" s="13">
        <v>46081.462500000001</v>
      </c>
      <c r="P45" s="13">
        <v>46081.462500000001</v>
      </c>
      <c r="Q45" s="14">
        <f t="shared" si="0"/>
        <v>0</v>
      </c>
      <c r="R45" s="13">
        <v>46081.462500000001</v>
      </c>
      <c r="S45" s="13">
        <v>46081.474340277775</v>
      </c>
      <c r="T45" s="14">
        <f t="shared" si="1"/>
        <v>17.049999993760139</v>
      </c>
      <c r="U45" s="14">
        <f t="shared" si="2"/>
        <v>17.049999993760139</v>
      </c>
      <c r="V45" s="8" t="s">
        <v>235</v>
      </c>
      <c r="W45" s="16" t="s">
        <v>39</v>
      </c>
      <c r="X45" s="8" t="s">
        <v>66</v>
      </c>
      <c r="Y45" s="16" t="s">
        <v>67</v>
      </c>
      <c r="Z45" s="8" t="s">
        <v>67</v>
      </c>
      <c r="AA45" s="8" t="s">
        <v>43</v>
      </c>
      <c r="AB45" s="8"/>
    </row>
    <row r="46" spans="1:28" ht="28.5" x14ac:dyDescent="0.2">
      <c r="A46" s="8">
        <v>45</v>
      </c>
      <c r="B46" s="16" t="s">
        <v>236</v>
      </c>
      <c r="C46" s="16" t="s">
        <v>28</v>
      </c>
      <c r="D46" s="9">
        <v>46084</v>
      </c>
      <c r="E46" s="15" t="s">
        <v>183</v>
      </c>
      <c r="F46" s="15" t="s">
        <v>60</v>
      </c>
      <c r="G46" s="15" t="s">
        <v>60</v>
      </c>
      <c r="H46" s="11" t="s">
        <v>28</v>
      </c>
      <c r="I46" s="8" t="s">
        <v>237</v>
      </c>
      <c r="J46" s="8" t="s">
        <v>29</v>
      </c>
      <c r="K46" s="8" t="s">
        <v>238</v>
      </c>
      <c r="L46" s="8" t="s">
        <v>239</v>
      </c>
      <c r="M46" s="8" t="s">
        <v>36</v>
      </c>
      <c r="N46" s="8" t="s">
        <v>37</v>
      </c>
      <c r="O46" s="13">
        <v>46084.51221064815</v>
      </c>
      <c r="P46" s="13">
        <v>46084.51221064815</v>
      </c>
      <c r="Q46" s="14">
        <f t="shared" si="0"/>
        <v>0</v>
      </c>
      <c r="R46" s="13">
        <v>46084.51221064815</v>
      </c>
      <c r="S46" s="13">
        <v>46084.530995370369</v>
      </c>
      <c r="T46" s="14">
        <f t="shared" si="1"/>
        <v>27.049999994924292</v>
      </c>
      <c r="U46" s="14">
        <f t="shared" si="2"/>
        <v>27.049999994924292</v>
      </c>
      <c r="V46" s="12" t="s">
        <v>240</v>
      </c>
      <c r="W46" s="16" t="s">
        <v>39</v>
      </c>
      <c r="X46" s="8" t="s">
        <v>40</v>
      </c>
      <c r="Y46" s="16" t="s">
        <v>41</v>
      </c>
      <c r="Z46" s="8" t="s">
        <v>241</v>
      </c>
      <c r="AA46" s="8" t="s">
        <v>43</v>
      </c>
      <c r="AB46" s="8"/>
    </row>
    <row r="47" spans="1:28" ht="14.25" x14ac:dyDescent="0.2">
      <c r="A47" s="8">
        <v>46</v>
      </c>
      <c r="B47" s="16" t="s">
        <v>242</v>
      </c>
      <c r="C47" s="16" t="s">
        <v>28</v>
      </c>
      <c r="D47" s="9">
        <v>46085</v>
      </c>
      <c r="E47" s="15" t="s">
        <v>183</v>
      </c>
      <c r="F47" s="12" t="s">
        <v>243</v>
      </c>
      <c r="G47" s="8" t="s">
        <v>125</v>
      </c>
      <c r="H47" s="11" t="s">
        <v>244</v>
      </c>
      <c r="I47" s="8" t="s">
        <v>245</v>
      </c>
      <c r="J47" s="8" t="s">
        <v>29</v>
      </c>
      <c r="K47" s="8" t="s">
        <v>105</v>
      </c>
      <c r="L47" s="8" t="s">
        <v>246</v>
      </c>
      <c r="M47" s="8" t="s">
        <v>107</v>
      </c>
      <c r="N47" s="8" t="s">
        <v>37</v>
      </c>
      <c r="O47" s="13">
        <v>46085.348321759258</v>
      </c>
      <c r="P47" s="13">
        <v>46085.349710648145</v>
      </c>
      <c r="Q47" s="14">
        <f t="shared" si="0"/>
        <v>1.9999999960418791</v>
      </c>
      <c r="R47" s="13">
        <v>46085.374710648146</v>
      </c>
      <c r="S47" s="13">
        <v>46085.400243055556</v>
      </c>
      <c r="T47" s="14">
        <f t="shared" si="1"/>
        <v>36.766666669864208</v>
      </c>
      <c r="U47" s="14">
        <f t="shared" si="2"/>
        <v>74.766666668001562</v>
      </c>
      <c r="V47" s="8" t="s">
        <v>129</v>
      </c>
      <c r="W47" s="16" t="s">
        <v>39</v>
      </c>
      <c r="X47" s="8" t="s">
        <v>66</v>
      </c>
      <c r="Y47" s="8" t="s">
        <v>67</v>
      </c>
      <c r="Z47" s="8" t="s">
        <v>67</v>
      </c>
      <c r="AA47" s="8" t="s">
        <v>43</v>
      </c>
      <c r="AB47" s="8"/>
    </row>
    <row r="48" spans="1:28" ht="142.5" x14ac:dyDescent="0.2">
      <c r="A48" s="8">
        <v>47</v>
      </c>
      <c r="B48" s="16" t="s">
        <v>247</v>
      </c>
      <c r="C48" s="16" t="s">
        <v>28</v>
      </c>
      <c r="D48" s="9">
        <v>46085</v>
      </c>
      <c r="E48" s="15" t="s">
        <v>183</v>
      </c>
      <c r="F48" s="12" t="s">
        <v>248</v>
      </c>
      <c r="G48" s="12" t="s">
        <v>249</v>
      </c>
      <c r="H48" s="11" t="s">
        <v>250</v>
      </c>
      <c r="I48" s="8" t="s">
        <v>251</v>
      </c>
      <c r="J48" s="8" t="s">
        <v>29</v>
      </c>
      <c r="K48" s="8" t="s">
        <v>105</v>
      </c>
      <c r="L48" s="8" t="s">
        <v>246</v>
      </c>
      <c r="M48" s="8" t="s">
        <v>107</v>
      </c>
      <c r="N48" s="8" t="s">
        <v>37</v>
      </c>
      <c r="O48" s="13">
        <v>46085.388599537036</v>
      </c>
      <c r="P48" s="13">
        <v>46085.388599537036</v>
      </c>
      <c r="Q48" s="14">
        <f t="shared" si="0"/>
        <v>0</v>
      </c>
      <c r="R48" s="13">
        <v>46085.403182870374</v>
      </c>
      <c r="S48" s="13">
        <v>46085.411365740743</v>
      </c>
      <c r="T48" s="14">
        <f t="shared" si="1"/>
        <v>11.783333332277834</v>
      </c>
      <c r="U48" s="14">
        <f t="shared" si="2"/>
        <v>32.78333333786577</v>
      </c>
      <c r="V48" s="12" t="s">
        <v>252</v>
      </c>
      <c r="W48" s="16" t="s">
        <v>39</v>
      </c>
      <c r="X48" s="8" t="s">
        <v>66</v>
      </c>
      <c r="Y48" s="8" t="s">
        <v>67</v>
      </c>
      <c r="Z48" s="8" t="s">
        <v>67</v>
      </c>
      <c r="AA48" s="8" t="s">
        <v>43</v>
      </c>
      <c r="AB48" s="8"/>
    </row>
    <row r="49" spans="1:28" ht="14.25" x14ac:dyDescent="0.2">
      <c r="A49" s="8">
        <v>48</v>
      </c>
      <c r="B49" s="15" t="s">
        <v>253</v>
      </c>
      <c r="C49" s="16" t="s">
        <v>28</v>
      </c>
      <c r="D49" s="9">
        <v>46089</v>
      </c>
      <c r="E49" s="8" t="s">
        <v>254</v>
      </c>
      <c r="F49" s="12" t="s">
        <v>255</v>
      </c>
      <c r="G49" s="8" t="s">
        <v>125</v>
      </c>
      <c r="H49" s="8" t="s">
        <v>256</v>
      </c>
      <c r="I49" s="8" t="s">
        <v>257</v>
      </c>
      <c r="J49" s="8" t="s">
        <v>29</v>
      </c>
      <c r="K49" s="8" t="s">
        <v>29</v>
      </c>
      <c r="L49" s="8" t="s">
        <v>258</v>
      </c>
      <c r="M49" s="8" t="s">
        <v>36</v>
      </c>
      <c r="N49" s="8" t="s">
        <v>37</v>
      </c>
      <c r="O49" s="18">
        <v>46089.223969907405</v>
      </c>
      <c r="P49" s="13">
        <v>46089.227777777778</v>
      </c>
      <c r="Q49" s="14">
        <f t="shared" si="0"/>
        <v>5.4833333368878812</v>
      </c>
      <c r="R49" s="18">
        <v>46089.250358796293</v>
      </c>
      <c r="S49" s="18">
        <v>46089.292604166665</v>
      </c>
      <c r="T49" s="14">
        <f t="shared" si="1"/>
        <v>60.833333336049691</v>
      </c>
      <c r="U49" s="14">
        <f t="shared" si="2"/>
        <v>98.833333334187046</v>
      </c>
      <c r="V49" s="8" t="s">
        <v>259</v>
      </c>
      <c r="W49" s="16" t="s">
        <v>39</v>
      </c>
      <c r="X49" s="15" t="s">
        <v>40</v>
      </c>
      <c r="Y49" s="15" t="s">
        <v>41</v>
      </c>
      <c r="Z49" s="15" t="s">
        <v>42</v>
      </c>
      <c r="AA49" s="8" t="s">
        <v>43</v>
      </c>
      <c r="AB49" s="8"/>
    </row>
    <row r="50" spans="1:28" ht="57" x14ac:dyDescent="0.2">
      <c r="A50" s="8">
        <v>49</v>
      </c>
      <c r="B50" s="15" t="s">
        <v>260</v>
      </c>
      <c r="C50" s="16" t="s">
        <v>28</v>
      </c>
      <c r="D50" s="9">
        <v>46089</v>
      </c>
      <c r="E50" s="8" t="s">
        <v>183</v>
      </c>
      <c r="F50" s="12" t="s">
        <v>184</v>
      </c>
      <c r="G50" s="8" t="s">
        <v>55</v>
      </c>
      <c r="H50" s="8" t="s">
        <v>261</v>
      </c>
      <c r="I50" s="12" t="s">
        <v>262</v>
      </c>
      <c r="J50" s="8" t="s">
        <v>29</v>
      </c>
      <c r="K50" s="8" t="s">
        <v>29</v>
      </c>
      <c r="L50" s="8"/>
      <c r="M50" s="8"/>
      <c r="N50" s="8" t="s">
        <v>37</v>
      </c>
      <c r="O50" s="18">
        <v>46089.72457175926</v>
      </c>
      <c r="P50" s="13">
        <v>46089.727349537039</v>
      </c>
      <c r="Q50" s="14">
        <f t="shared" si="0"/>
        <v>4.0000000025611371</v>
      </c>
      <c r="R50" s="19">
        <v>46089.751655092594</v>
      </c>
      <c r="S50" s="19">
        <v>46089.763113425928</v>
      </c>
      <c r="T50" s="14">
        <f t="shared" si="1"/>
        <v>16.500000001396984</v>
      </c>
      <c r="U50" s="14">
        <f t="shared" si="2"/>
        <v>55.500000002793968</v>
      </c>
      <c r="V50" s="12" t="s">
        <v>263</v>
      </c>
      <c r="W50" s="16" t="s">
        <v>39</v>
      </c>
      <c r="X50" s="8" t="s">
        <v>66</v>
      </c>
      <c r="Y50" s="8" t="s">
        <v>67</v>
      </c>
      <c r="Z50" s="8" t="s">
        <v>67</v>
      </c>
      <c r="AA50" s="8" t="s">
        <v>43</v>
      </c>
      <c r="AB50" s="8"/>
    </row>
    <row r="51" spans="1:28" ht="28.5" x14ac:dyDescent="0.2">
      <c r="A51" s="8">
        <v>50</v>
      </c>
      <c r="B51" s="15" t="s">
        <v>264</v>
      </c>
      <c r="C51" s="16" t="s">
        <v>28</v>
      </c>
      <c r="D51" s="9">
        <v>46090</v>
      </c>
      <c r="E51" s="15" t="s">
        <v>265</v>
      </c>
      <c r="F51" s="12" t="s">
        <v>184</v>
      </c>
      <c r="G51" s="8" t="s">
        <v>55</v>
      </c>
      <c r="H51" s="11" t="s">
        <v>266</v>
      </c>
      <c r="I51" s="8" t="s">
        <v>33</v>
      </c>
      <c r="J51" s="8" t="s">
        <v>29</v>
      </c>
      <c r="K51" s="8" t="s">
        <v>29</v>
      </c>
      <c r="L51" s="8" t="s">
        <v>267</v>
      </c>
      <c r="M51" s="8" t="s">
        <v>36</v>
      </c>
      <c r="N51" s="8" t="s">
        <v>37</v>
      </c>
      <c r="O51" s="18">
        <v>46090.33315972222</v>
      </c>
      <c r="P51" s="13">
        <v>46090.337500000001</v>
      </c>
      <c r="Q51" s="14">
        <f t="shared" si="0"/>
        <v>6.2500000046566129</v>
      </c>
      <c r="R51" s="19">
        <v>46090.376215277778</v>
      </c>
      <c r="S51" s="19">
        <v>46090.406435185185</v>
      </c>
      <c r="T51" s="14">
        <f t="shared" si="1"/>
        <v>43.516666665673256</v>
      </c>
      <c r="U51" s="14">
        <f t="shared" si="2"/>
        <v>105.51666666870005</v>
      </c>
      <c r="V51" s="12" t="s">
        <v>268</v>
      </c>
      <c r="W51" s="16" t="s">
        <v>39</v>
      </c>
      <c r="X51" s="15" t="s">
        <v>40</v>
      </c>
      <c r="Y51" s="15" t="s">
        <v>41</v>
      </c>
      <c r="Z51" s="8" t="s">
        <v>241</v>
      </c>
      <c r="AA51" s="8" t="s">
        <v>43</v>
      </c>
      <c r="AB51" s="8"/>
    </row>
    <row r="52" spans="1:28" ht="14.25" x14ac:dyDescent="0.2">
      <c r="A52" s="8">
        <v>51</v>
      </c>
      <c r="B52" s="15" t="s">
        <v>269</v>
      </c>
      <c r="C52" s="16" t="s">
        <v>28</v>
      </c>
      <c r="D52" s="9">
        <v>46090</v>
      </c>
      <c r="E52" s="15" t="s">
        <v>265</v>
      </c>
      <c r="F52" s="12" t="s">
        <v>270</v>
      </c>
      <c r="G52" s="8" t="s">
        <v>271</v>
      </c>
      <c r="H52" s="8" t="s">
        <v>272</v>
      </c>
      <c r="I52" s="8" t="s">
        <v>273</v>
      </c>
      <c r="J52" s="8" t="s">
        <v>29</v>
      </c>
      <c r="K52" s="8" t="s">
        <v>29</v>
      </c>
      <c r="L52" s="8" t="s">
        <v>274</v>
      </c>
      <c r="M52" s="8" t="s">
        <v>36</v>
      </c>
      <c r="N52" s="8" t="s">
        <v>37</v>
      </c>
      <c r="O52" s="18">
        <v>46090.426261574074</v>
      </c>
      <c r="P52" s="13">
        <v>46090.428472222222</v>
      </c>
      <c r="Q52" s="14">
        <f t="shared" si="0"/>
        <v>3.183333333581686</v>
      </c>
      <c r="R52" s="13">
        <v>46090.428472222222</v>
      </c>
      <c r="S52" s="19">
        <v>46090.437037037038</v>
      </c>
      <c r="T52" s="14">
        <f t="shared" si="1"/>
        <v>12.333333335118368</v>
      </c>
      <c r="U52" s="14">
        <f t="shared" si="2"/>
        <v>15.516666668700054</v>
      </c>
      <c r="V52" s="8" t="s">
        <v>272</v>
      </c>
      <c r="W52" s="16" t="s">
        <v>39</v>
      </c>
      <c r="X52" s="8" t="s">
        <v>66</v>
      </c>
      <c r="Y52" s="8" t="s">
        <v>67</v>
      </c>
      <c r="Z52" s="8" t="s">
        <v>67</v>
      </c>
      <c r="AA52" s="8" t="s">
        <v>43</v>
      </c>
      <c r="AB52" s="8"/>
    </row>
    <row r="53" spans="1:28" ht="28.5" x14ac:dyDescent="0.2">
      <c r="A53" s="8">
        <v>52</v>
      </c>
      <c r="B53" s="15" t="s">
        <v>275</v>
      </c>
      <c r="C53" s="16" t="s">
        <v>28</v>
      </c>
      <c r="D53" s="9">
        <v>46090</v>
      </c>
      <c r="E53" s="15" t="s">
        <v>265</v>
      </c>
      <c r="F53" s="12" t="s">
        <v>184</v>
      </c>
      <c r="G53" s="8" t="s">
        <v>55</v>
      </c>
      <c r="H53" s="11" t="s">
        <v>266</v>
      </c>
      <c r="I53" s="8" t="s">
        <v>33</v>
      </c>
      <c r="J53" s="8" t="s">
        <v>29</v>
      </c>
      <c r="K53" s="8" t="s">
        <v>29</v>
      </c>
      <c r="L53" s="8" t="s">
        <v>267</v>
      </c>
      <c r="M53" s="8" t="s">
        <v>36</v>
      </c>
      <c r="N53" s="8" t="s">
        <v>37</v>
      </c>
      <c r="O53" s="18">
        <v>46090.441481481481</v>
      </c>
      <c r="P53" s="13">
        <v>46090.444444444445</v>
      </c>
      <c r="Q53" s="14">
        <f t="shared" si="0"/>
        <v>4.2666666687000543</v>
      </c>
      <c r="R53" s="19">
        <v>46090.460231481484</v>
      </c>
      <c r="S53" s="19">
        <v>46090.467847222222</v>
      </c>
      <c r="T53" s="14">
        <f t="shared" si="1"/>
        <v>10.966666663298383</v>
      </c>
      <c r="U53" s="14">
        <f t="shared" si="2"/>
        <v>37.966666667489335</v>
      </c>
      <c r="V53" s="12" t="s">
        <v>268</v>
      </c>
      <c r="W53" s="16" t="s">
        <v>39</v>
      </c>
      <c r="X53" s="15" t="s">
        <v>40</v>
      </c>
      <c r="Y53" s="15" t="s">
        <v>41</v>
      </c>
      <c r="Z53" s="8" t="s">
        <v>241</v>
      </c>
      <c r="AA53" s="8" t="s">
        <v>43</v>
      </c>
      <c r="AB53" s="8"/>
    </row>
    <row r="54" spans="1:28" ht="28.5" x14ac:dyDescent="0.2">
      <c r="A54" s="8">
        <v>53</v>
      </c>
      <c r="B54" s="15" t="s">
        <v>276</v>
      </c>
      <c r="C54" s="16" t="s">
        <v>28</v>
      </c>
      <c r="D54" s="9">
        <v>46090</v>
      </c>
      <c r="E54" s="15" t="s">
        <v>265</v>
      </c>
      <c r="F54" s="12" t="s">
        <v>184</v>
      </c>
      <c r="G54" s="8" t="s">
        <v>55</v>
      </c>
      <c r="H54" s="11" t="s">
        <v>266</v>
      </c>
      <c r="I54" s="8" t="s">
        <v>33</v>
      </c>
      <c r="J54" s="8" t="s">
        <v>29</v>
      </c>
      <c r="K54" s="8" t="s">
        <v>29</v>
      </c>
      <c r="L54" s="8" t="s">
        <v>267</v>
      </c>
      <c r="M54" s="8" t="s">
        <v>36</v>
      </c>
      <c r="N54" s="8" t="s">
        <v>37</v>
      </c>
      <c r="O54" s="18">
        <v>46090.509930555556</v>
      </c>
      <c r="P54" s="13">
        <v>46090.512708333335</v>
      </c>
      <c r="Q54" s="14">
        <f t="shared" si="0"/>
        <v>4.0000000025611371</v>
      </c>
      <c r="R54" s="19">
        <v>46090.544652777775</v>
      </c>
      <c r="S54" s="19">
        <v>46090.559861111113</v>
      </c>
      <c r="T54" s="14">
        <f t="shared" si="1"/>
        <v>21.900000006426126</v>
      </c>
      <c r="U54" s="14">
        <f t="shared" si="2"/>
        <v>71.900000001769513</v>
      </c>
      <c r="V54" s="12" t="s">
        <v>277</v>
      </c>
      <c r="W54" s="16" t="s">
        <v>39</v>
      </c>
      <c r="X54" s="15" t="s">
        <v>40</v>
      </c>
      <c r="Y54" s="15" t="s">
        <v>41</v>
      </c>
      <c r="Z54" s="8" t="s">
        <v>241</v>
      </c>
      <c r="AA54" s="8" t="s">
        <v>43</v>
      </c>
      <c r="AB54" s="8"/>
    </row>
    <row r="55" spans="1:28" ht="28.5" x14ac:dyDescent="0.2">
      <c r="A55" s="8">
        <v>54</v>
      </c>
      <c r="B55" s="15" t="s">
        <v>278</v>
      </c>
      <c r="C55" s="16" t="s">
        <v>28</v>
      </c>
      <c r="D55" s="9">
        <v>46090</v>
      </c>
      <c r="E55" s="8" t="s">
        <v>183</v>
      </c>
      <c r="F55" s="12" t="s">
        <v>184</v>
      </c>
      <c r="G55" s="8" t="s">
        <v>55</v>
      </c>
      <c r="H55" s="11" t="s">
        <v>28</v>
      </c>
      <c r="I55" s="8" t="s">
        <v>33</v>
      </c>
      <c r="J55" s="8" t="s">
        <v>29</v>
      </c>
      <c r="K55" s="8" t="s">
        <v>29</v>
      </c>
      <c r="L55" s="8" t="s">
        <v>29</v>
      </c>
      <c r="M55" s="20" t="s">
        <v>29</v>
      </c>
      <c r="N55" s="8" t="s">
        <v>37</v>
      </c>
      <c r="O55" s="18">
        <v>46090.651331018518</v>
      </c>
      <c r="P55" s="18">
        <v>46090.651331018518</v>
      </c>
      <c r="Q55" s="14">
        <f t="shared" si="0"/>
        <v>0</v>
      </c>
      <c r="R55" s="18">
        <v>46090.651331018518</v>
      </c>
      <c r="S55" s="18">
        <v>46090.658912037034</v>
      </c>
      <c r="T55" s="14">
        <f t="shared" si="1"/>
        <v>10.916666662087664</v>
      </c>
      <c r="U55" s="14">
        <f t="shared" si="2"/>
        <v>10.916666662087664</v>
      </c>
      <c r="V55" s="12" t="s">
        <v>279</v>
      </c>
      <c r="W55" s="16" t="s">
        <v>39</v>
      </c>
      <c r="X55" s="8" t="s">
        <v>66</v>
      </c>
      <c r="Y55" s="8" t="s">
        <v>67</v>
      </c>
      <c r="Z55" s="8" t="s">
        <v>67</v>
      </c>
      <c r="AA55" s="8" t="s">
        <v>43</v>
      </c>
      <c r="AB55" s="8"/>
    </row>
    <row r="56" spans="1:28" ht="28.5" x14ac:dyDescent="0.2">
      <c r="A56" s="8">
        <v>55</v>
      </c>
      <c r="B56" s="15" t="s">
        <v>280</v>
      </c>
      <c r="C56" s="16" t="s">
        <v>28</v>
      </c>
      <c r="D56" s="9">
        <v>46091</v>
      </c>
      <c r="E56" s="15" t="s">
        <v>265</v>
      </c>
      <c r="F56" s="12" t="s">
        <v>184</v>
      </c>
      <c r="G56" s="8" t="s">
        <v>55</v>
      </c>
      <c r="H56" s="8" t="s">
        <v>281</v>
      </c>
      <c r="I56" s="12" t="s">
        <v>282</v>
      </c>
      <c r="J56" s="8" t="s">
        <v>29</v>
      </c>
      <c r="K56" s="8" t="s">
        <v>29</v>
      </c>
      <c r="L56" s="8" t="s">
        <v>283</v>
      </c>
      <c r="M56" s="8" t="s">
        <v>284</v>
      </c>
      <c r="N56" s="8" t="s">
        <v>37</v>
      </c>
      <c r="O56" s="18">
        <v>46091.314652777779</v>
      </c>
      <c r="P56" s="18">
        <v>46091.316666666666</v>
      </c>
      <c r="Q56" s="14">
        <f t="shared" si="0"/>
        <v>2.8999999968800694</v>
      </c>
      <c r="R56" s="18">
        <v>46091.347291666665</v>
      </c>
      <c r="S56" s="18">
        <v>46091.383935185186</v>
      </c>
      <c r="T56" s="14">
        <f t="shared" si="1"/>
        <v>52.766666669631377</v>
      </c>
      <c r="U56" s="14">
        <f t="shared" si="2"/>
        <v>99.766666665673256</v>
      </c>
      <c r="V56" s="8" t="s">
        <v>285</v>
      </c>
      <c r="W56" s="16" t="s">
        <v>39</v>
      </c>
      <c r="X56" s="8" t="s">
        <v>66</v>
      </c>
      <c r="Y56" s="8" t="s">
        <v>67</v>
      </c>
      <c r="Z56" s="8" t="s">
        <v>67</v>
      </c>
      <c r="AA56" s="8" t="s">
        <v>43</v>
      </c>
      <c r="AB56" s="8"/>
    </row>
    <row r="57" spans="1:28" ht="28.5" x14ac:dyDescent="0.2">
      <c r="A57" s="8">
        <v>56</v>
      </c>
      <c r="B57" s="15" t="s">
        <v>286</v>
      </c>
      <c r="C57" s="16" t="s">
        <v>28</v>
      </c>
      <c r="D57" s="9">
        <v>46091</v>
      </c>
      <c r="E57" s="15" t="s">
        <v>265</v>
      </c>
      <c r="F57" s="12" t="s">
        <v>184</v>
      </c>
      <c r="G57" s="8" t="s">
        <v>55</v>
      </c>
      <c r="H57" s="11" t="s">
        <v>272</v>
      </c>
      <c r="I57" s="8" t="s">
        <v>287</v>
      </c>
      <c r="J57" s="8" t="s">
        <v>29</v>
      </c>
      <c r="K57" s="8" t="s">
        <v>29</v>
      </c>
      <c r="L57" s="8" t="s">
        <v>288</v>
      </c>
      <c r="M57" s="8" t="s">
        <v>36</v>
      </c>
      <c r="N57" s="8" t="s">
        <v>37</v>
      </c>
      <c r="O57" s="18">
        <v>46091.510196759256</v>
      </c>
      <c r="P57" s="18">
        <v>46091.512499999997</v>
      </c>
      <c r="Q57" s="14">
        <f t="shared" si="0"/>
        <v>3.3166666666511446</v>
      </c>
      <c r="R57" s="18">
        <v>46091.512499999997</v>
      </c>
      <c r="S57" s="18">
        <v>46091.550254629627</v>
      </c>
      <c r="T57" s="14">
        <f t="shared" si="1"/>
        <v>54.36666666646488</v>
      </c>
      <c r="U57" s="14">
        <f t="shared" si="2"/>
        <v>57.683333333116025</v>
      </c>
      <c r="V57" s="12" t="s">
        <v>279</v>
      </c>
      <c r="W57" s="16" t="s">
        <v>39</v>
      </c>
      <c r="X57" s="8" t="s">
        <v>66</v>
      </c>
      <c r="Y57" s="8" t="s">
        <v>67</v>
      </c>
      <c r="Z57" s="8" t="s">
        <v>67</v>
      </c>
      <c r="AA57" s="8" t="s">
        <v>43</v>
      </c>
      <c r="AB57" s="8"/>
    </row>
    <row r="58" spans="1:28" ht="14.25" x14ac:dyDescent="0.2">
      <c r="A58" s="8">
        <v>57</v>
      </c>
      <c r="B58" s="15" t="s">
        <v>289</v>
      </c>
      <c r="C58" s="16" t="s">
        <v>28</v>
      </c>
      <c r="D58" s="9">
        <v>46092</v>
      </c>
      <c r="E58" s="8" t="s">
        <v>290</v>
      </c>
      <c r="F58" s="12" t="s">
        <v>291</v>
      </c>
      <c r="G58" s="8" t="s">
        <v>291</v>
      </c>
      <c r="H58" s="8" t="s">
        <v>292</v>
      </c>
      <c r="I58" s="8" t="s">
        <v>293</v>
      </c>
      <c r="J58" s="8" t="s">
        <v>29</v>
      </c>
      <c r="K58" s="8" t="s">
        <v>29</v>
      </c>
      <c r="L58" s="8" t="s">
        <v>294</v>
      </c>
      <c r="M58" s="8" t="s">
        <v>36</v>
      </c>
      <c r="N58" s="8" t="s">
        <v>37</v>
      </c>
      <c r="O58" s="18">
        <v>46329.168368055558</v>
      </c>
      <c r="P58" s="18">
        <v>46329.16978009259</v>
      </c>
      <c r="Q58" s="14">
        <f t="shared" si="0"/>
        <v>2.033333326689899</v>
      </c>
      <c r="R58" s="18">
        <v>46329.16978009259</v>
      </c>
      <c r="S58" s="18">
        <v>46329.171168981484</v>
      </c>
      <c r="T58" s="14">
        <f t="shared" si="1"/>
        <v>2.000000006519258</v>
      </c>
      <c r="U58" s="14">
        <f t="shared" si="2"/>
        <v>4.033333333209157</v>
      </c>
      <c r="V58" s="8" t="s">
        <v>295</v>
      </c>
      <c r="W58" s="16" t="s">
        <v>39</v>
      </c>
      <c r="X58" s="8" t="s">
        <v>66</v>
      </c>
      <c r="Y58" s="8" t="s">
        <v>67</v>
      </c>
      <c r="Z58" s="8" t="s">
        <v>67</v>
      </c>
      <c r="AA58" s="8" t="s">
        <v>43</v>
      </c>
      <c r="AB58" s="8"/>
    </row>
    <row r="59" spans="1:28" ht="28.5" x14ac:dyDescent="0.2">
      <c r="A59" s="8">
        <v>58</v>
      </c>
      <c r="B59" s="15" t="s">
        <v>296</v>
      </c>
      <c r="C59" s="16" t="s">
        <v>28</v>
      </c>
      <c r="D59" s="9">
        <v>46092</v>
      </c>
      <c r="E59" s="15" t="s">
        <v>265</v>
      </c>
      <c r="F59" s="12" t="s">
        <v>184</v>
      </c>
      <c r="G59" s="8" t="s">
        <v>55</v>
      </c>
      <c r="H59" s="11" t="s">
        <v>266</v>
      </c>
      <c r="I59" s="8" t="s">
        <v>33</v>
      </c>
      <c r="J59" s="8" t="s">
        <v>29</v>
      </c>
      <c r="K59" s="8" t="s">
        <v>29</v>
      </c>
      <c r="L59" s="8" t="s">
        <v>267</v>
      </c>
      <c r="M59" s="8" t="s">
        <v>36</v>
      </c>
      <c r="N59" s="8" t="s">
        <v>37</v>
      </c>
      <c r="O59" s="18">
        <v>46092.311296296299</v>
      </c>
      <c r="P59" s="18">
        <v>46092.315462962964</v>
      </c>
      <c r="Q59" s="14">
        <f t="shared" si="0"/>
        <v>5.9999999986030161</v>
      </c>
      <c r="R59" s="18">
        <v>46092.359907407408</v>
      </c>
      <c r="S59" s="18">
        <v>46092.409872685188</v>
      </c>
      <c r="T59" s="14">
        <f t="shared" si="1"/>
        <v>71.950000002980232</v>
      </c>
      <c r="U59" s="14">
        <f t="shared" si="2"/>
        <v>141.95000000065193</v>
      </c>
      <c r="V59" s="12" t="s">
        <v>297</v>
      </c>
      <c r="W59" s="16" t="s">
        <v>39</v>
      </c>
      <c r="X59" s="15" t="s">
        <v>40</v>
      </c>
      <c r="Y59" s="15" t="s">
        <v>41</v>
      </c>
      <c r="Z59" s="8" t="s">
        <v>241</v>
      </c>
      <c r="AA59" s="8" t="s">
        <v>43</v>
      </c>
      <c r="AB59" s="8"/>
    </row>
    <row r="60" spans="1:28" ht="28.5" x14ac:dyDescent="0.2">
      <c r="A60" s="8">
        <v>59</v>
      </c>
      <c r="B60" s="15" t="s">
        <v>298</v>
      </c>
      <c r="C60" s="16" t="s">
        <v>28</v>
      </c>
      <c r="D60" s="9">
        <v>46092</v>
      </c>
      <c r="E60" s="15" t="s">
        <v>183</v>
      </c>
      <c r="F60" s="12" t="s">
        <v>184</v>
      </c>
      <c r="G60" s="8" t="s">
        <v>55</v>
      </c>
      <c r="H60" s="11" t="s">
        <v>299</v>
      </c>
      <c r="I60" s="8" t="s">
        <v>33</v>
      </c>
      <c r="J60" s="8" t="s">
        <v>29</v>
      </c>
      <c r="K60" s="8" t="s">
        <v>29</v>
      </c>
      <c r="L60" s="8" t="s">
        <v>267</v>
      </c>
      <c r="M60" s="8" t="s">
        <v>36</v>
      </c>
      <c r="N60" s="8" t="s">
        <v>37</v>
      </c>
      <c r="O60" s="18">
        <v>46092.62636574074</v>
      </c>
      <c r="P60" s="18">
        <v>46092.628449074073</v>
      </c>
      <c r="Q60" s="14">
        <f t="shared" si="0"/>
        <v>2.9999999993015081</v>
      </c>
      <c r="R60" s="18">
        <v>46092.65483796296</v>
      </c>
      <c r="S60" s="18">
        <v>46092.676087962966</v>
      </c>
      <c r="T60" s="14">
        <f t="shared" si="1"/>
        <v>30.600000007543713</v>
      </c>
      <c r="U60" s="14">
        <f t="shared" si="2"/>
        <v>71.600000004982576</v>
      </c>
      <c r="V60" s="12" t="s">
        <v>300</v>
      </c>
      <c r="W60" s="16" t="s">
        <v>39</v>
      </c>
      <c r="X60" s="15" t="s">
        <v>40</v>
      </c>
      <c r="Y60" s="15" t="s">
        <v>41</v>
      </c>
      <c r="Z60" s="8" t="s">
        <v>241</v>
      </c>
      <c r="AA60" s="8" t="s">
        <v>43</v>
      </c>
      <c r="AB60" s="8"/>
    </row>
    <row r="61" spans="1:28" ht="28.5" x14ac:dyDescent="0.2">
      <c r="A61" s="8">
        <v>60</v>
      </c>
      <c r="B61" s="15" t="s">
        <v>301</v>
      </c>
      <c r="C61" s="16" t="s">
        <v>28</v>
      </c>
      <c r="D61" s="9">
        <v>46093</v>
      </c>
      <c r="E61" s="15" t="s">
        <v>183</v>
      </c>
      <c r="F61" s="12" t="s">
        <v>184</v>
      </c>
      <c r="G61" s="8" t="s">
        <v>55</v>
      </c>
      <c r="H61" s="11" t="s">
        <v>302</v>
      </c>
      <c r="I61" s="8" t="s">
        <v>33</v>
      </c>
      <c r="J61" s="8" t="s">
        <v>29</v>
      </c>
      <c r="K61" s="8" t="s">
        <v>29</v>
      </c>
      <c r="L61" s="8" t="s">
        <v>267</v>
      </c>
      <c r="M61" s="8" t="s">
        <v>36</v>
      </c>
      <c r="N61" s="8" t="s">
        <v>37</v>
      </c>
      <c r="O61" s="18">
        <v>46093.387916666667</v>
      </c>
      <c r="P61" s="18">
        <v>46093.389305555553</v>
      </c>
      <c r="Q61" s="14">
        <f t="shared" si="0"/>
        <v>1.9999999960418791</v>
      </c>
      <c r="R61" s="18">
        <v>46093.414305555554</v>
      </c>
      <c r="S61" s="18">
        <v>46093.451296296298</v>
      </c>
      <c r="T61" s="14">
        <f t="shared" si="1"/>
        <v>53.266666671261191</v>
      </c>
      <c r="U61" s="14">
        <f t="shared" si="2"/>
        <v>91.266666669398546</v>
      </c>
      <c r="V61" s="12" t="s">
        <v>303</v>
      </c>
      <c r="W61" s="16" t="s">
        <v>39</v>
      </c>
      <c r="X61" s="15" t="s">
        <v>40</v>
      </c>
      <c r="Y61" s="15" t="s">
        <v>41</v>
      </c>
      <c r="Z61" s="8" t="s">
        <v>241</v>
      </c>
      <c r="AA61" s="8" t="s">
        <v>43</v>
      </c>
      <c r="AB61" s="8"/>
    </row>
    <row r="62" spans="1:28" ht="28.5" x14ac:dyDescent="0.2">
      <c r="A62" s="8">
        <v>61</v>
      </c>
      <c r="B62" s="15" t="s">
        <v>304</v>
      </c>
      <c r="C62" s="16" t="s">
        <v>28</v>
      </c>
      <c r="D62" s="9">
        <v>46093</v>
      </c>
      <c r="E62" s="15" t="s">
        <v>183</v>
      </c>
      <c r="F62" s="12" t="s">
        <v>184</v>
      </c>
      <c r="G62" s="8" t="s">
        <v>55</v>
      </c>
      <c r="H62" s="11" t="s">
        <v>28</v>
      </c>
      <c r="I62" s="8" t="s">
        <v>305</v>
      </c>
      <c r="J62" s="8" t="s">
        <v>29</v>
      </c>
      <c r="K62" s="8" t="s">
        <v>29</v>
      </c>
      <c r="L62" s="8" t="s">
        <v>306</v>
      </c>
      <c r="M62" s="8" t="s">
        <v>29</v>
      </c>
      <c r="N62" s="8" t="s">
        <v>37</v>
      </c>
      <c r="O62" s="18">
        <v>46093.452962962961</v>
      </c>
      <c r="P62" s="18">
        <v>46093.453657407408</v>
      </c>
      <c r="Q62" s="14">
        <f t="shared" si="0"/>
        <v>1.000000003259629</v>
      </c>
      <c r="R62" s="18">
        <v>46093.453657407408</v>
      </c>
      <c r="S62" s="18">
        <v>46093.484988425924</v>
      </c>
      <c r="T62" s="14">
        <f t="shared" si="1"/>
        <v>45.116666662506759</v>
      </c>
      <c r="U62" s="14">
        <f t="shared" si="2"/>
        <v>46.116666665766388</v>
      </c>
      <c r="V62" s="12" t="s">
        <v>279</v>
      </c>
      <c r="W62" s="16" t="s">
        <v>39</v>
      </c>
      <c r="X62" s="8" t="s">
        <v>66</v>
      </c>
      <c r="Y62" s="8" t="s">
        <v>67</v>
      </c>
      <c r="Z62" s="8" t="s">
        <v>67</v>
      </c>
      <c r="AA62" s="8" t="s">
        <v>43</v>
      </c>
      <c r="AB62" s="8"/>
    </row>
    <row r="63" spans="1:28" ht="14.25" x14ac:dyDescent="0.2">
      <c r="A63" s="8">
        <v>62</v>
      </c>
      <c r="B63" s="15" t="s">
        <v>307</v>
      </c>
      <c r="C63" s="16" t="s">
        <v>28</v>
      </c>
      <c r="D63" s="9">
        <v>46094</v>
      </c>
      <c r="E63" s="15" t="s">
        <v>183</v>
      </c>
      <c r="F63" s="12" t="s">
        <v>60</v>
      </c>
      <c r="G63" s="8" t="s">
        <v>60</v>
      </c>
      <c r="H63" s="11" t="s">
        <v>308</v>
      </c>
      <c r="I63" s="8" t="s">
        <v>309</v>
      </c>
      <c r="J63" s="8" t="s">
        <v>29</v>
      </c>
      <c r="K63" s="8" t="s">
        <v>29</v>
      </c>
      <c r="L63" s="8" t="s">
        <v>310</v>
      </c>
      <c r="M63" s="8" t="s">
        <v>29</v>
      </c>
      <c r="N63" s="8" t="s">
        <v>37</v>
      </c>
      <c r="O63" s="18">
        <v>46094.452685185184</v>
      </c>
      <c r="P63" s="18">
        <v>46094.456157407411</v>
      </c>
      <c r="Q63" s="14">
        <f t="shared" si="0"/>
        <v>5.0000000058207661</v>
      </c>
      <c r="R63" s="18">
        <v>46094.458240740743</v>
      </c>
      <c r="S63" s="18">
        <v>46094.466307870367</v>
      </c>
      <c r="T63" s="14">
        <f t="shared" si="1"/>
        <v>11.616666658082977</v>
      </c>
      <c r="U63" s="14">
        <f t="shared" si="2"/>
        <v>19.616666663205251</v>
      </c>
      <c r="V63" s="12" t="s">
        <v>311</v>
      </c>
      <c r="W63" s="16" t="s">
        <v>39</v>
      </c>
      <c r="X63" s="8" t="s">
        <v>66</v>
      </c>
      <c r="Y63" s="8" t="s">
        <v>67</v>
      </c>
      <c r="Z63" s="8" t="s">
        <v>67</v>
      </c>
      <c r="AA63" s="8" t="s">
        <v>43</v>
      </c>
      <c r="AB63" s="8"/>
    </row>
    <row r="64" spans="1:28" ht="28.5" x14ac:dyDescent="0.2">
      <c r="A64" s="8">
        <v>63</v>
      </c>
      <c r="B64" s="15" t="s">
        <v>312</v>
      </c>
      <c r="C64" s="16" t="s">
        <v>28</v>
      </c>
      <c r="D64" s="9">
        <v>46096</v>
      </c>
      <c r="E64" s="8" t="s">
        <v>290</v>
      </c>
      <c r="F64" s="12" t="s">
        <v>184</v>
      </c>
      <c r="G64" s="8" t="s">
        <v>313</v>
      </c>
      <c r="H64" s="11" t="s">
        <v>314</v>
      </c>
      <c r="I64" s="8" t="s">
        <v>315</v>
      </c>
      <c r="J64" s="8" t="s">
        <v>29</v>
      </c>
      <c r="K64" s="8" t="s">
        <v>29</v>
      </c>
      <c r="L64" s="8" t="s">
        <v>316</v>
      </c>
      <c r="M64" s="8" t="s">
        <v>29</v>
      </c>
      <c r="N64" s="8" t="s">
        <v>37</v>
      </c>
      <c r="O64" s="13">
        <v>46096.142071759263</v>
      </c>
      <c r="P64" s="13">
        <v>46096.142766203702</v>
      </c>
      <c r="Q64" s="14">
        <f t="shared" si="0"/>
        <v>0.99999999278225005</v>
      </c>
      <c r="R64" s="13">
        <v>46096.142766203702</v>
      </c>
      <c r="S64" s="13">
        <v>46096.146238425928</v>
      </c>
      <c r="T64" s="14">
        <f t="shared" si="1"/>
        <v>5.0000000058207661</v>
      </c>
      <c r="U64" s="14">
        <f t="shared" si="2"/>
        <v>5.9999999986030161</v>
      </c>
      <c r="V64" s="11" t="s">
        <v>317</v>
      </c>
      <c r="W64" s="16" t="s">
        <v>39</v>
      </c>
      <c r="X64" s="8" t="s">
        <v>66</v>
      </c>
      <c r="Y64" s="8" t="s">
        <v>67</v>
      </c>
      <c r="Z64" s="8" t="s">
        <v>67</v>
      </c>
      <c r="AA64" s="8" t="s">
        <v>318</v>
      </c>
      <c r="AB64" s="8"/>
    </row>
    <row r="65" spans="1:28" ht="42.75" x14ac:dyDescent="0.2">
      <c r="A65" s="8">
        <v>64</v>
      </c>
      <c r="B65" s="15" t="s">
        <v>319</v>
      </c>
      <c r="C65" s="16" t="s">
        <v>28</v>
      </c>
      <c r="D65" s="9">
        <v>46098</v>
      </c>
      <c r="E65" s="15" t="s">
        <v>183</v>
      </c>
      <c r="F65" s="12" t="s">
        <v>184</v>
      </c>
      <c r="G65" s="8" t="s">
        <v>313</v>
      </c>
      <c r="H65" s="11" t="s">
        <v>320</v>
      </c>
      <c r="I65" s="8" t="s">
        <v>321</v>
      </c>
      <c r="J65" s="8" t="s">
        <v>29</v>
      </c>
      <c r="K65" s="8" t="s">
        <v>29</v>
      </c>
      <c r="L65" s="8" t="s">
        <v>322</v>
      </c>
      <c r="M65" s="8" t="s">
        <v>29</v>
      </c>
      <c r="N65" s="8" t="s">
        <v>37</v>
      </c>
      <c r="O65" s="18">
        <v>46098.416261574072</v>
      </c>
      <c r="P65" s="18">
        <v>46098.417650462965</v>
      </c>
      <c r="Q65" s="14">
        <f t="shared" si="0"/>
        <v>2.000000006519258</v>
      </c>
      <c r="R65" s="18">
        <v>46098.417650462965</v>
      </c>
      <c r="S65" s="18">
        <v>46098.450486111113</v>
      </c>
      <c r="T65" s="14">
        <f t="shared" si="1"/>
        <v>47.283333332743496</v>
      </c>
      <c r="U65" s="14">
        <f t="shared" si="2"/>
        <v>49.283333339262754</v>
      </c>
      <c r="V65" s="12" t="s">
        <v>323</v>
      </c>
      <c r="W65" s="16" t="s">
        <v>39</v>
      </c>
      <c r="X65" s="15" t="s">
        <v>40</v>
      </c>
      <c r="Y65" s="15" t="s">
        <v>41</v>
      </c>
      <c r="Z65" s="15" t="s">
        <v>42</v>
      </c>
      <c r="AA65" s="8" t="s">
        <v>43</v>
      </c>
      <c r="AB65" s="8"/>
    </row>
    <row r="66" spans="1:28" ht="28.5" x14ac:dyDescent="0.2">
      <c r="A66" s="8">
        <v>65</v>
      </c>
      <c r="B66" s="15" t="s">
        <v>324</v>
      </c>
      <c r="C66" s="16" t="s">
        <v>28</v>
      </c>
      <c r="D66" s="9">
        <v>46099</v>
      </c>
      <c r="E66" s="15" t="s">
        <v>254</v>
      </c>
      <c r="F66" s="12" t="s">
        <v>184</v>
      </c>
      <c r="G66" s="8" t="s">
        <v>313</v>
      </c>
      <c r="H66" s="11" t="s">
        <v>314</v>
      </c>
      <c r="I66" s="8" t="s">
        <v>325</v>
      </c>
      <c r="J66" s="8" t="s">
        <v>29</v>
      </c>
      <c r="K66" s="8" t="s">
        <v>29</v>
      </c>
      <c r="L66" s="8" t="s">
        <v>326</v>
      </c>
      <c r="M66" s="8" t="s">
        <v>29</v>
      </c>
      <c r="N66" s="8" t="s">
        <v>37</v>
      </c>
      <c r="O66" s="18">
        <v>46099.416134259256</v>
      </c>
      <c r="P66" s="18">
        <v>46099.41982638889</v>
      </c>
      <c r="Q66" s="14">
        <f t="shared" si="0"/>
        <v>5.3166666731704026</v>
      </c>
      <c r="R66" s="18">
        <v>46099.41982638889</v>
      </c>
      <c r="S66" s="18">
        <v>46099.423298611109</v>
      </c>
      <c r="T66" s="14">
        <f t="shared" si="1"/>
        <v>4.9999999953433871</v>
      </c>
      <c r="U66" s="14">
        <f t="shared" si="2"/>
        <v>10.31666666851379</v>
      </c>
      <c r="V66" s="11" t="s">
        <v>317</v>
      </c>
      <c r="W66" s="16" t="s">
        <v>39</v>
      </c>
      <c r="X66" s="15" t="s">
        <v>40</v>
      </c>
      <c r="Y66" s="15" t="s">
        <v>41</v>
      </c>
      <c r="Z66" s="15" t="s">
        <v>42</v>
      </c>
      <c r="AA66" s="8" t="s">
        <v>43</v>
      </c>
      <c r="AB66" s="8"/>
    </row>
    <row r="67" spans="1:28" ht="14.25" x14ac:dyDescent="0.2">
      <c r="A67" s="8">
        <v>66</v>
      </c>
      <c r="B67" s="15" t="s">
        <v>327</v>
      </c>
      <c r="C67" s="16" t="s">
        <v>28</v>
      </c>
      <c r="D67" s="9">
        <v>46100</v>
      </c>
      <c r="E67" s="15" t="s">
        <v>254</v>
      </c>
      <c r="F67" s="12" t="s">
        <v>328</v>
      </c>
      <c r="G67" s="8" t="s">
        <v>329</v>
      </c>
      <c r="H67" s="11" t="s">
        <v>330</v>
      </c>
      <c r="I67" s="8" t="s">
        <v>229</v>
      </c>
      <c r="J67" s="8" t="s">
        <v>29</v>
      </c>
      <c r="K67" s="8" t="s">
        <v>29</v>
      </c>
      <c r="L67" s="8" t="s">
        <v>331</v>
      </c>
      <c r="M67" s="8" t="s">
        <v>36</v>
      </c>
      <c r="N67" s="8" t="s">
        <v>37</v>
      </c>
      <c r="O67" s="18">
        <v>46100.62327546296</v>
      </c>
      <c r="P67" s="18">
        <v>46100.624305555553</v>
      </c>
      <c r="Q67" s="14">
        <f t="shared" si="0"/>
        <v>1.4833333343267441</v>
      </c>
      <c r="R67" s="18">
        <v>46100.63958333333</v>
      </c>
      <c r="S67" s="18">
        <v>46100.673125000001</v>
      </c>
      <c r="T67" s="14">
        <f t="shared" si="1"/>
        <v>48.300000006565824</v>
      </c>
      <c r="U67" s="14">
        <f t="shared" si="2"/>
        <v>71.783333339262754</v>
      </c>
      <c r="V67" s="8" t="s">
        <v>295</v>
      </c>
      <c r="W67" s="16" t="s">
        <v>39</v>
      </c>
      <c r="X67" s="8" t="s">
        <v>66</v>
      </c>
      <c r="Y67" s="8" t="s">
        <v>67</v>
      </c>
      <c r="Z67" s="8" t="s">
        <v>67</v>
      </c>
      <c r="AA67" s="8" t="s">
        <v>318</v>
      </c>
      <c r="AB67" s="8"/>
    </row>
    <row r="68" spans="1:28" ht="42.75" x14ac:dyDescent="0.2">
      <c r="A68" s="8">
        <v>67</v>
      </c>
      <c r="B68" s="21" t="s">
        <v>332</v>
      </c>
      <c r="C68" s="16" t="s">
        <v>28</v>
      </c>
      <c r="D68" s="9">
        <v>46101</v>
      </c>
      <c r="E68" s="15" t="s">
        <v>333</v>
      </c>
      <c r="F68" s="12" t="s">
        <v>184</v>
      </c>
      <c r="G68" s="8" t="s">
        <v>313</v>
      </c>
      <c r="H68" s="11" t="s">
        <v>334</v>
      </c>
      <c r="I68" s="8" t="s">
        <v>335</v>
      </c>
      <c r="J68" s="8" t="s">
        <v>29</v>
      </c>
      <c r="K68" s="8" t="s">
        <v>29</v>
      </c>
      <c r="L68" s="8" t="s">
        <v>336</v>
      </c>
      <c r="M68" s="8" t="s">
        <v>107</v>
      </c>
      <c r="N68" s="8" t="s">
        <v>37</v>
      </c>
      <c r="O68" s="18">
        <v>46101.380879629629</v>
      </c>
      <c r="P68" s="18">
        <v>46101.383043981485</v>
      </c>
      <c r="Q68" s="14">
        <f t="shared" si="0"/>
        <v>3.1166666722856462</v>
      </c>
      <c r="R68" s="18">
        <v>46101.396238425928</v>
      </c>
      <c r="S68" s="18">
        <v>46101.575370370374</v>
      </c>
      <c r="T68" s="14">
        <f t="shared" si="1"/>
        <v>257.95000000158325</v>
      </c>
      <c r="U68" s="14">
        <f t="shared" si="2"/>
        <v>280.06666667293757</v>
      </c>
      <c r="V68" s="12" t="s">
        <v>337</v>
      </c>
      <c r="W68" s="16" t="s">
        <v>39</v>
      </c>
      <c r="X68" s="15" t="s">
        <v>40</v>
      </c>
      <c r="Y68" s="15" t="s">
        <v>41</v>
      </c>
      <c r="Z68" s="15" t="s">
        <v>338</v>
      </c>
      <c r="AA68" s="8" t="s">
        <v>43</v>
      </c>
      <c r="AB68" s="8"/>
    </row>
    <row r="69" spans="1:28" ht="42.75" x14ac:dyDescent="0.2">
      <c r="A69" s="8">
        <v>68</v>
      </c>
      <c r="B69" s="21" t="s">
        <v>339</v>
      </c>
      <c r="C69" s="16" t="s">
        <v>28</v>
      </c>
      <c r="D69" s="9">
        <v>46102</v>
      </c>
      <c r="E69" s="15" t="s">
        <v>340</v>
      </c>
      <c r="F69" s="12" t="s">
        <v>184</v>
      </c>
      <c r="G69" s="8" t="s">
        <v>313</v>
      </c>
      <c r="H69" s="11" t="s">
        <v>334</v>
      </c>
      <c r="I69" s="8" t="s">
        <v>341</v>
      </c>
      <c r="J69" s="8" t="s">
        <v>29</v>
      </c>
      <c r="K69" s="8" t="s">
        <v>29</v>
      </c>
      <c r="L69" s="8" t="s">
        <v>336</v>
      </c>
      <c r="M69" s="8" t="s">
        <v>107</v>
      </c>
      <c r="N69" s="8" t="s">
        <v>37</v>
      </c>
      <c r="O69" s="18">
        <v>46102.320648148147</v>
      </c>
      <c r="P69" s="18">
        <v>46102.323287037034</v>
      </c>
      <c r="Q69" s="14">
        <f t="shared" si="0"/>
        <v>3.7999999977182597</v>
      </c>
      <c r="R69" s="18">
        <v>46102.350821759261</v>
      </c>
      <c r="S69" s="18">
        <v>46102.750381944446</v>
      </c>
      <c r="T69" s="14">
        <f t="shared" si="1"/>
        <v>575.3666666673962</v>
      </c>
      <c r="U69" s="14">
        <f t="shared" si="2"/>
        <v>618.81666667177342</v>
      </c>
      <c r="V69" s="12" t="s">
        <v>337</v>
      </c>
      <c r="W69" s="16" t="s">
        <v>39</v>
      </c>
      <c r="X69" s="15" t="s">
        <v>40</v>
      </c>
      <c r="Y69" s="15" t="s">
        <v>41</v>
      </c>
      <c r="Z69" s="15" t="s">
        <v>338</v>
      </c>
      <c r="AA69" s="8" t="s">
        <v>43</v>
      </c>
      <c r="AB69" s="8"/>
    </row>
    <row r="70" spans="1:28" ht="14.25" x14ac:dyDescent="0.2">
      <c r="A70" s="8">
        <v>69</v>
      </c>
      <c r="B70" s="15" t="s">
        <v>342</v>
      </c>
      <c r="C70" s="16" t="s">
        <v>28</v>
      </c>
      <c r="D70" s="9">
        <v>46102</v>
      </c>
      <c r="E70" s="15" t="s">
        <v>290</v>
      </c>
      <c r="F70" s="12" t="s">
        <v>60</v>
      </c>
      <c r="G70" s="8" t="s">
        <v>343</v>
      </c>
      <c r="H70" s="11" t="s">
        <v>344</v>
      </c>
      <c r="I70" s="8" t="s">
        <v>345</v>
      </c>
      <c r="J70" s="8"/>
      <c r="K70" s="8"/>
      <c r="L70" s="8"/>
      <c r="M70" s="8" t="s">
        <v>36</v>
      </c>
      <c r="N70" s="8" t="s">
        <v>346</v>
      </c>
      <c r="O70" s="18">
        <v>46102.540879629632</v>
      </c>
      <c r="P70" s="18">
        <v>46102.540879629632</v>
      </c>
      <c r="Q70" s="14">
        <f t="shared" si="0"/>
        <v>0</v>
      </c>
      <c r="R70" s="18">
        <v>46102.540879629632</v>
      </c>
      <c r="S70" s="18">
        <v>46102.545081018521</v>
      </c>
      <c r="T70" s="14">
        <f t="shared" si="1"/>
        <v>6.0499999998137355</v>
      </c>
      <c r="U70" s="14">
        <f t="shared" si="2"/>
        <v>6.0499999998137355</v>
      </c>
      <c r="V70" s="12" t="s">
        <v>347</v>
      </c>
      <c r="W70" s="16" t="s">
        <v>39</v>
      </c>
      <c r="X70" s="8" t="s">
        <v>66</v>
      </c>
      <c r="Y70" s="8" t="s">
        <v>67</v>
      </c>
      <c r="Z70" s="8" t="s">
        <v>67</v>
      </c>
      <c r="AA70" s="8" t="s">
        <v>43</v>
      </c>
      <c r="AB70" s="8"/>
    </row>
    <row r="71" spans="1:28" ht="14.25" x14ac:dyDescent="0.2">
      <c r="A71" s="8">
        <v>70</v>
      </c>
      <c r="B71" s="15" t="s">
        <v>348</v>
      </c>
      <c r="C71" s="16" t="s">
        <v>28</v>
      </c>
      <c r="D71" s="9">
        <v>46102</v>
      </c>
      <c r="E71" s="15" t="s">
        <v>333</v>
      </c>
      <c r="F71" s="12" t="s">
        <v>60</v>
      </c>
      <c r="G71" s="8" t="s">
        <v>349</v>
      </c>
      <c r="H71" s="11" t="s">
        <v>344</v>
      </c>
      <c r="I71" s="8" t="s">
        <v>321</v>
      </c>
      <c r="J71" s="8"/>
      <c r="K71" s="8"/>
      <c r="L71" s="8"/>
      <c r="M71" s="8" t="s">
        <v>36</v>
      </c>
      <c r="N71" s="8" t="s">
        <v>346</v>
      </c>
      <c r="O71" s="18">
        <v>46102.809490740743</v>
      </c>
      <c r="P71" s="18">
        <v>46102.809490740743</v>
      </c>
      <c r="Q71" s="14">
        <f t="shared" si="0"/>
        <v>0</v>
      </c>
      <c r="R71" s="18">
        <v>46102.809490740743</v>
      </c>
      <c r="S71" s="18">
        <v>46102.812210648146</v>
      </c>
      <c r="T71" s="14">
        <f t="shared" si="1"/>
        <v>3.9166666602250189</v>
      </c>
      <c r="U71" s="14">
        <f t="shared" si="2"/>
        <v>3.9166666602250189</v>
      </c>
      <c r="V71" s="12" t="s">
        <v>347</v>
      </c>
      <c r="W71" s="16" t="s">
        <v>39</v>
      </c>
      <c r="X71" s="8" t="s">
        <v>66</v>
      </c>
      <c r="Y71" s="8" t="s">
        <v>67</v>
      </c>
      <c r="Z71" s="8" t="s">
        <v>67</v>
      </c>
      <c r="AA71" s="8" t="s">
        <v>43</v>
      </c>
      <c r="AB71" s="8"/>
    </row>
    <row r="72" spans="1:28" ht="28.5" x14ac:dyDescent="0.2">
      <c r="A72" s="8">
        <v>71</v>
      </c>
      <c r="B72" s="15" t="s">
        <v>350</v>
      </c>
      <c r="C72" s="16" t="s">
        <v>28</v>
      </c>
      <c r="D72" s="9">
        <v>46102</v>
      </c>
      <c r="E72" s="15" t="s">
        <v>333</v>
      </c>
      <c r="F72" s="12" t="s">
        <v>184</v>
      </c>
      <c r="G72" s="8" t="s">
        <v>313</v>
      </c>
      <c r="H72" s="11" t="s">
        <v>351</v>
      </c>
      <c r="I72" s="8" t="s">
        <v>335</v>
      </c>
      <c r="J72" s="8"/>
      <c r="K72" s="8"/>
      <c r="L72" s="8" t="s">
        <v>336</v>
      </c>
      <c r="M72" s="8" t="s">
        <v>36</v>
      </c>
      <c r="N72" s="8" t="s">
        <v>37</v>
      </c>
      <c r="O72" s="18">
        <v>46102.861956018518</v>
      </c>
      <c r="P72" s="18">
        <v>46102.863344907404</v>
      </c>
      <c r="Q72" s="14">
        <f t="shared" si="0"/>
        <v>1.9999999960418791</v>
      </c>
      <c r="R72" s="18">
        <v>46102.869560185187</v>
      </c>
      <c r="S72" s="18">
        <v>46102.872581018521</v>
      </c>
      <c r="T72" s="14">
        <f t="shared" si="1"/>
        <v>4.3500000005587935</v>
      </c>
      <c r="U72" s="14">
        <f t="shared" si="2"/>
        <v>15.300000003771856</v>
      </c>
      <c r="V72" s="12" t="s">
        <v>352</v>
      </c>
      <c r="W72" s="16" t="s">
        <v>39</v>
      </c>
      <c r="X72" s="15" t="s">
        <v>40</v>
      </c>
      <c r="Y72" s="8" t="s">
        <v>67</v>
      </c>
      <c r="Z72" s="15" t="s">
        <v>42</v>
      </c>
      <c r="AA72" s="8" t="s">
        <v>43</v>
      </c>
      <c r="AB72" s="8"/>
    </row>
    <row r="73" spans="1:28" ht="14.25" x14ac:dyDescent="0.2">
      <c r="A73" s="8">
        <v>72</v>
      </c>
      <c r="B73" s="15" t="s">
        <v>353</v>
      </c>
      <c r="C73" s="16" t="s">
        <v>28</v>
      </c>
      <c r="D73" s="9">
        <v>46102</v>
      </c>
      <c r="E73" s="15" t="s">
        <v>333</v>
      </c>
      <c r="F73" s="12" t="s">
        <v>60</v>
      </c>
      <c r="G73" s="8" t="s">
        <v>349</v>
      </c>
      <c r="H73" s="11" t="s">
        <v>344</v>
      </c>
      <c r="I73" s="8" t="s">
        <v>142</v>
      </c>
      <c r="J73" s="8"/>
      <c r="K73" s="8"/>
      <c r="L73" s="8"/>
      <c r="M73" s="8" t="s">
        <v>36</v>
      </c>
      <c r="N73" s="8" t="s">
        <v>346</v>
      </c>
      <c r="O73" s="18">
        <v>46102.869675925926</v>
      </c>
      <c r="P73" s="18">
        <v>46102.869675925926</v>
      </c>
      <c r="Q73" s="14">
        <f t="shared" si="0"/>
        <v>0</v>
      </c>
      <c r="R73" s="18">
        <v>46102.870370370372</v>
      </c>
      <c r="S73" s="18">
        <v>46102.875289351854</v>
      </c>
      <c r="T73" s="14">
        <f t="shared" si="1"/>
        <v>7.0833333337213844</v>
      </c>
      <c r="U73" s="14">
        <f t="shared" si="2"/>
        <v>8.0833333369810134</v>
      </c>
      <c r="V73" s="12" t="s">
        <v>354</v>
      </c>
      <c r="W73" s="16" t="s">
        <v>39</v>
      </c>
      <c r="X73" s="8" t="s">
        <v>66</v>
      </c>
      <c r="Y73" s="8" t="s">
        <v>67</v>
      </c>
      <c r="Z73" s="8" t="s">
        <v>67</v>
      </c>
      <c r="AA73" s="8" t="s">
        <v>43</v>
      </c>
      <c r="AB73" s="8"/>
    </row>
    <row r="74" spans="1:28" ht="28.5" x14ac:dyDescent="0.2">
      <c r="A74" s="8">
        <v>73</v>
      </c>
      <c r="B74" s="21" t="s">
        <v>355</v>
      </c>
      <c r="C74" s="16" t="s">
        <v>28</v>
      </c>
      <c r="D74" s="9">
        <v>46102</v>
      </c>
      <c r="E74" s="15" t="s">
        <v>356</v>
      </c>
      <c r="F74" s="12" t="s">
        <v>184</v>
      </c>
      <c r="G74" s="8" t="s">
        <v>313</v>
      </c>
      <c r="H74" s="11" t="s">
        <v>357</v>
      </c>
      <c r="I74" s="8" t="s">
        <v>358</v>
      </c>
      <c r="J74" s="8" t="s">
        <v>29</v>
      </c>
      <c r="K74" s="8" t="s">
        <v>29</v>
      </c>
      <c r="L74" s="8" t="s">
        <v>359</v>
      </c>
      <c r="M74" s="8" t="s">
        <v>107</v>
      </c>
      <c r="N74" s="8" t="s">
        <v>37</v>
      </c>
      <c r="O74" s="18">
        <v>46102.897685185184</v>
      </c>
      <c r="P74" s="18">
        <v>46102.900057870371</v>
      </c>
      <c r="Q74" s="14">
        <f t="shared" si="0"/>
        <v>3.4166666690725833</v>
      </c>
      <c r="R74" s="18">
        <v>46102.958472222221</v>
      </c>
      <c r="S74" s="18">
        <v>46102.980555555558</v>
      </c>
      <c r="T74" s="14">
        <f t="shared" si="1"/>
        <v>31.80000000516884</v>
      </c>
      <c r="U74" s="14">
        <f t="shared" si="2"/>
        <v>119.33333333814517</v>
      </c>
      <c r="V74" s="12" t="s">
        <v>360</v>
      </c>
      <c r="W74" s="16" t="s">
        <v>39</v>
      </c>
      <c r="X74" s="8" t="s">
        <v>66</v>
      </c>
      <c r="Y74" s="8" t="s">
        <v>67</v>
      </c>
      <c r="Z74" s="8" t="s">
        <v>67</v>
      </c>
      <c r="AA74" s="8" t="s">
        <v>43</v>
      </c>
      <c r="AB74" s="8"/>
    </row>
    <row r="75" spans="1:28" ht="42.75" x14ac:dyDescent="0.2">
      <c r="A75" s="8">
        <v>74</v>
      </c>
      <c r="B75" s="21" t="s">
        <v>361</v>
      </c>
      <c r="C75" s="16" t="s">
        <v>28</v>
      </c>
      <c r="D75" s="9">
        <v>46104</v>
      </c>
      <c r="E75" s="8" t="s">
        <v>265</v>
      </c>
      <c r="F75" s="12" t="s">
        <v>184</v>
      </c>
      <c r="G75" s="8" t="s">
        <v>313</v>
      </c>
      <c r="H75" s="8" t="s">
        <v>362</v>
      </c>
      <c r="I75" s="8" t="s">
        <v>363</v>
      </c>
      <c r="J75" s="8" t="s">
        <v>29</v>
      </c>
      <c r="K75" s="8" t="s">
        <v>29</v>
      </c>
      <c r="L75" s="8" t="s">
        <v>29</v>
      </c>
      <c r="M75" s="8" t="s">
        <v>107</v>
      </c>
      <c r="N75" s="8" t="s">
        <v>37</v>
      </c>
      <c r="O75" s="18">
        <v>46104.058159722219</v>
      </c>
      <c r="P75" s="18">
        <v>46104.063194444447</v>
      </c>
      <c r="Q75" s="14">
        <f t="shared" si="0"/>
        <v>7.2500000079162419</v>
      </c>
      <c r="R75" s="18">
        <v>46104.058159722219</v>
      </c>
      <c r="S75" s="18">
        <v>46104.235335648147</v>
      </c>
      <c r="T75" s="14">
        <f t="shared" si="1"/>
        <v>255.13333333656192</v>
      </c>
      <c r="U75" s="14">
        <f t="shared" si="2"/>
        <v>255.13333333656192</v>
      </c>
      <c r="V75" s="12" t="s">
        <v>364</v>
      </c>
      <c r="W75" s="16" t="s">
        <v>39</v>
      </c>
      <c r="X75" s="10" t="s">
        <v>40</v>
      </c>
      <c r="Y75" s="10" t="s">
        <v>365</v>
      </c>
      <c r="Z75" s="10" t="s">
        <v>366</v>
      </c>
      <c r="AA75" s="8" t="s">
        <v>43</v>
      </c>
      <c r="AB75" s="8"/>
    </row>
    <row r="76" spans="1:28" ht="28.5" x14ac:dyDescent="0.2">
      <c r="A76" s="8">
        <v>75</v>
      </c>
      <c r="B76" s="21" t="s">
        <v>367</v>
      </c>
      <c r="C76" s="16" t="s">
        <v>28</v>
      </c>
      <c r="D76" s="9">
        <v>46104</v>
      </c>
      <c r="E76" s="8" t="s">
        <v>265</v>
      </c>
      <c r="F76" s="12" t="s">
        <v>184</v>
      </c>
      <c r="G76" s="8" t="s">
        <v>313</v>
      </c>
      <c r="H76" s="11" t="s">
        <v>368</v>
      </c>
      <c r="I76" s="8" t="s">
        <v>369</v>
      </c>
      <c r="J76" s="8" t="s">
        <v>29</v>
      </c>
      <c r="K76" s="8" t="s">
        <v>29</v>
      </c>
      <c r="L76" s="8" t="s">
        <v>370</v>
      </c>
      <c r="M76" s="8" t="s">
        <v>107</v>
      </c>
      <c r="N76" s="8" t="s">
        <v>37</v>
      </c>
      <c r="O76" s="18">
        <v>46104.090775462966</v>
      </c>
      <c r="P76" s="18">
        <v>46104.095150462963</v>
      </c>
      <c r="Q76" s="14">
        <f t="shared" si="0"/>
        <v>6.2999999953899533</v>
      </c>
      <c r="R76" s="18">
        <v>46104.182766203703</v>
      </c>
      <c r="S76" s="18">
        <v>46104.185972222222</v>
      </c>
      <c r="T76" s="14">
        <f t="shared" si="1"/>
        <v>4.6166666666977108</v>
      </c>
      <c r="U76" s="14">
        <f t="shared" si="2"/>
        <v>137.08333332790062</v>
      </c>
      <c r="V76" s="8" t="s">
        <v>371</v>
      </c>
      <c r="W76" s="16" t="s">
        <v>39</v>
      </c>
      <c r="X76" s="10" t="s">
        <v>40</v>
      </c>
      <c r="Y76" s="10" t="s">
        <v>365</v>
      </c>
      <c r="Z76" s="10" t="s">
        <v>366</v>
      </c>
      <c r="AA76" s="8" t="s">
        <v>43</v>
      </c>
      <c r="AB76" s="8"/>
    </row>
    <row r="77" spans="1:28" ht="28.5" x14ac:dyDescent="0.2">
      <c r="A77" s="8">
        <v>76</v>
      </c>
      <c r="B77" s="21" t="s">
        <v>372</v>
      </c>
      <c r="C77" s="16" t="s">
        <v>28</v>
      </c>
      <c r="D77" s="9">
        <v>46104</v>
      </c>
      <c r="E77" s="8" t="s">
        <v>265</v>
      </c>
      <c r="F77" s="12" t="s">
        <v>184</v>
      </c>
      <c r="G77" s="8" t="s">
        <v>313</v>
      </c>
      <c r="H77" s="8" t="s">
        <v>373</v>
      </c>
      <c r="I77" s="8" t="s">
        <v>374</v>
      </c>
      <c r="J77" s="8" t="s">
        <v>29</v>
      </c>
      <c r="K77" s="8" t="s">
        <v>29</v>
      </c>
      <c r="L77" s="8" t="s">
        <v>375</v>
      </c>
      <c r="M77" s="8" t="s">
        <v>36</v>
      </c>
      <c r="N77" s="8" t="s">
        <v>37</v>
      </c>
      <c r="O77" s="18">
        <v>46104.091099537036</v>
      </c>
      <c r="P77" s="18">
        <v>46104.093055555553</v>
      </c>
      <c r="Q77" s="14">
        <f t="shared" si="0"/>
        <v>2.8166666650213301</v>
      </c>
      <c r="R77" s="18">
        <v>46104.110543981478</v>
      </c>
      <c r="S77" s="19">
        <v>46104.370289351849</v>
      </c>
      <c r="T77" s="14">
        <f t="shared" si="1"/>
        <v>374.03333333437331</v>
      </c>
      <c r="U77" s="14">
        <f t="shared" si="2"/>
        <v>402.03333333134651</v>
      </c>
      <c r="V77" s="8" t="s">
        <v>376</v>
      </c>
      <c r="W77" s="16" t="s">
        <v>39</v>
      </c>
      <c r="X77" s="15" t="s">
        <v>40</v>
      </c>
      <c r="Y77" s="15" t="s">
        <v>41</v>
      </c>
      <c r="Z77" s="15" t="s">
        <v>42</v>
      </c>
      <c r="AA77" s="8" t="s">
        <v>43</v>
      </c>
      <c r="AB77" s="8"/>
    </row>
    <row r="78" spans="1:28" ht="28.5" x14ac:dyDescent="0.2">
      <c r="A78" s="8">
        <v>77</v>
      </c>
      <c r="B78" s="21" t="s">
        <v>377</v>
      </c>
      <c r="C78" s="16" t="s">
        <v>28</v>
      </c>
      <c r="D78" s="9">
        <v>46104</v>
      </c>
      <c r="E78" s="8" t="s">
        <v>265</v>
      </c>
      <c r="F78" s="12" t="s">
        <v>184</v>
      </c>
      <c r="G78" s="8" t="s">
        <v>313</v>
      </c>
      <c r="H78" s="8" t="s">
        <v>378</v>
      </c>
      <c r="I78" s="8" t="s">
        <v>309</v>
      </c>
      <c r="J78" s="8" t="s">
        <v>29</v>
      </c>
      <c r="K78" s="8" t="s">
        <v>29</v>
      </c>
      <c r="L78" s="8" t="s">
        <v>379</v>
      </c>
      <c r="M78" s="8" t="s">
        <v>107</v>
      </c>
      <c r="N78" s="8" t="s">
        <v>37</v>
      </c>
      <c r="O78" s="18">
        <v>46104.099027777775</v>
      </c>
      <c r="P78" s="18">
        <v>46104.101388888892</v>
      </c>
      <c r="Q78" s="14">
        <f t="shared" si="0"/>
        <v>3.4000000089872628</v>
      </c>
      <c r="R78" s="18">
        <v>46104.108055555553</v>
      </c>
      <c r="S78" s="18">
        <v>46104.182916666665</v>
      </c>
      <c r="T78" s="14">
        <f t="shared" si="1"/>
        <v>107.80000000144355</v>
      </c>
      <c r="U78" s="14">
        <f t="shared" si="2"/>
        <v>120.80000000190921</v>
      </c>
      <c r="V78" s="8" t="s">
        <v>371</v>
      </c>
      <c r="W78" s="16" t="s">
        <v>39</v>
      </c>
      <c r="X78" s="10" t="s">
        <v>40</v>
      </c>
      <c r="Y78" s="10" t="s">
        <v>365</v>
      </c>
      <c r="Z78" s="10" t="s">
        <v>366</v>
      </c>
      <c r="AA78" s="8" t="s">
        <v>43</v>
      </c>
      <c r="AB78" s="8"/>
    </row>
    <row r="79" spans="1:28" ht="28.5" x14ac:dyDescent="0.2">
      <c r="A79" s="8">
        <v>78</v>
      </c>
      <c r="B79" s="21" t="s">
        <v>380</v>
      </c>
      <c r="C79" s="16" t="s">
        <v>28</v>
      </c>
      <c r="D79" s="9">
        <v>46104</v>
      </c>
      <c r="E79" s="8" t="s">
        <v>265</v>
      </c>
      <c r="F79" s="12" t="s">
        <v>184</v>
      </c>
      <c r="G79" s="8" t="s">
        <v>313</v>
      </c>
      <c r="H79" s="8" t="s">
        <v>381</v>
      </c>
      <c r="I79" s="8" t="s">
        <v>382</v>
      </c>
      <c r="J79" s="8" t="s">
        <v>29</v>
      </c>
      <c r="K79" s="8" t="s">
        <v>29</v>
      </c>
      <c r="L79" s="8" t="s">
        <v>383</v>
      </c>
      <c r="M79" s="8" t="s">
        <v>107</v>
      </c>
      <c r="N79" s="8" t="s">
        <v>37</v>
      </c>
      <c r="O79" s="18">
        <v>46104.110509259262</v>
      </c>
      <c r="P79" s="18">
        <v>46104.117361111108</v>
      </c>
      <c r="Q79" s="14">
        <f t="shared" si="0"/>
        <v>9.8666666576173156</v>
      </c>
      <c r="R79" s="18">
        <v>46104.242152777777</v>
      </c>
      <c r="S79" s="18">
        <v>46104.246678240743</v>
      </c>
      <c r="T79" s="14">
        <f t="shared" si="1"/>
        <v>6.5166666707955301</v>
      </c>
      <c r="U79" s="14">
        <f t="shared" si="2"/>
        <v>196.08333333162591</v>
      </c>
      <c r="V79" s="8" t="s">
        <v>384</v>
      </c>
      <c r="W79" s="16" t="s">
        <v>39</v>
      </c>
      <c r="X79" s="10" t="s">
        <v>40</v>
      </c>
      <c r="Y79" s="10" t="s">
        <v>365</v>
      </c>
      <c r="Z79" s="10" t="s">
        <v>366</v>
      </c>
      <c r="AA79" s="8" t="s">
        <v>43</v>
      </c>
      <c r="AB79" s="8"/>
    </row>
    <row r="80" spans="1:28" ht="14.25" x14ac:dyDescent="0.2">
      <c r="A80" s="8">
        <v>79</v>
      </c>
      <c r="B80" s="21" t="s">
        <v>385</v>
      </c>
      <c r="C80" s="16" t="s">
        <v>28</v>
      </c>
      <c r="D80" s="9">
        <v>46104</v>
      </c>
      <c r="E80" s="8" t="s">
        <v>265</v>
      </c>
      <c r="F80" s="8" t="s">
        <v>386</v>
      </c>
      <c r="G80" s="8" t="s">
        <v>386</v>
      </c>
      <c r="H80" s="8" t="s">
        <v>387</v>
      </c>
      <c r="I80" s="8" t="s">
        <v>388</v>
      </c>
      <c r="J80" s="8" t="s">
        <v>29</v>
      </c>
      <c r="K80" s="8" t="s">
        <v>29</v>
      </c>
      <c r="L80" s="8" t="s">
        <v>389</v>
      </c>
      <c r="M80" s="8" t="s">
        <v>107</v>
      </c>
      <c r="N80" s="8" t="s">
        <v>37</v>
      </c>
      <c r="O80" s="18">
        <v>46104.116226851853</v>
      </c>
      <c r="P80" s="18">
        <v>46104.119444444441</v>
      </c>
      <c r="Q80" s="14">
        <f t="shared" si="0"/>
        <v>4.6333333267830312</v>
      </c>
      <c r="R80" s="18">
        <v>46104.133587962962</v>
      </c>
      <c r="S80" s="19">
        <v>46104.326423611114</v>
      </c>
      <c r="T80" s="14">
        <f t="shared" si="1"/>
        <v>277.68333333777264</v>
      </c>
      <c r="U80" s="14">
        <f t="shared" si="2"/>
        <v>302.68333333544433</v>
      </c>
      <c r="V80" s="8" t="s">
        <v>390</v>
      </c>
      <c r="W80" s="16" t="s">
        <v>39</v>
      </c>
      <c r="X80" s="10" t="s">
        <v>40</v>
      </c>
      <c r="Y80" s="10" t="s">
        <v>365</v>
      </c>
      <c r="Z80" s="10" t="s">
        <v>366</v>
      </c>
      <c r="AA80" s="8" t="s">
        <v>43</v>
      </c>
      <c r="AB80" s="8"/>
    </row>
    <row r="81" spans="1:28" ht="28.5" x14ac:dyDescent="0.2">
      <c r="A81" s="8">
        <v>80</v>
      </c>
      <c r="B81" s="21" t="s">
        <v>391</v>
      </c>
      <c r="C81" s="15" t="s">
        <v>28</v>
      </c>
      <c r="D81" s="9">
        <v>46104</v>
      </c>
      <c r="E81" s="8" t="s">
        <v>265</v>
      </c>
      <c r="F81" s="12" t="s">
        <v>184</v>
      </c>
      <c r="G81" s="8" t="s">
        <v>313</v>
      </c>
      <c r="H81" s="8" t="s">
        <v>392</v>
      </c>
      <c r="I81" s="8" t="s">
        <v>393</v>
      </c>
      <c r="J81" s="8" t="s">
        <v>29</v>
      </c>
      <c r="K81" s="8" t="s">
        <v>29</v>
      </c>
      <c r="L81" s="8" t="s">
        <v>394</v>
      </c>
      <c r="M81" s="8" t="s">
        <v>107</v>
      </c>
      <c r="N81" s="8" t="s">
        <v>37</v>
      </c>
      <c r="O81" s="18">
        <v>46104.261967592596</v>
      </c>
      <c r="P81" s="18">
        <v>46104.263888888891</v>
      </c>
      <c r="Q81" s="14">
        <f t="shared" si="0"/>
        <v>2.7666666638106108</v>
      </c>
      <c r="R81" s="19">
        <v>46104.293564814812</v>
      </c>
      <c r="S81" s="19">
        <v>46104.304282407407</v>
      </c>
      <c r="T81" s="14">
        <f t="shared" si="1"/>
        <v>15.433333336841315</v>
      </c>
      <c r="U81" s="14">
        <f t="shared" si="2"/>
        <v>60.933333327993751</v>
      </c>
      <c r="V81" s="8" t="s">
        <v>395</v>
      </c>
      <c r="W81" s="16" t="s">
        <v>39</v>
      </c>
      <c r="X81" s="10" t="s">
        <v>40</v>
      </c>
      <c r="Y81" s="10" t="s">
        <v>365</v>
      </c>
      <c r="Z81" s="10" t="s">
        <v>366</v>
      </c>
      <c r="AA81" s="8" t="s">
        <v>43</v>
      </c>
      <c r="AB81" s="8"/>
    </row>
    <row r="82" spans="1:28" ht="28.5" x14ac:dyDescent="0.2">
      <c r="A82" s="8">
        <v>81</v>
      </c>
      <c r="B82" s="21" t="s">
        <v>396</v>
      </c>
      <c r="C82" s="15" t="s">
        <v>28</v>
      </c>
      <c r="D82" s="9">
        <v>46104</v>
      </c>
      <c r="E82" s="20" t="s">
        <v>290</v>
      </c>
      <c r="F82" s="12" t="s">
        <v>184</v>
      </c>
      <c r="G82" s="8" t="s">
        <v>55</v>
      </c>
      <c r="H82" s="20" t="s">
        <v>397</v>
      </c>
      <c r="I82" s="8" t="s">
        <v>398</v>
      </c>
      <c r="J82" s="8" t="s">
        <v>29</v>
      </c>
      <c r="K82" s="8" t="s">
        <v>29</v>
      </c>
      <c r="L82" s="8" t="s">
        <v>399</v>
      </c>
      <c r="M82" s="8" t="s">
        <v>107</v>
      </c>
      <c r="N82" s="8" t="s">
        <v>37</v>
      </c>
      <c r="O82" s="19">
        <v>46104.381122685183</v>
      </c>
      <c r="P82" s="19">
        <v>46104.383020833331</v>
      </c>
      <c r="Q82" s="14">
        <f t="shared" si="0"/>
        <v>2.7333333331625909</v>
      </c>
      <c r="R82" s="19">
        <v>46104.383020833331</v>
      </c>
      <c r="S82" s="19">
        <v>46104.384652777779</v>
      </c>
      <c r="T82" s="14">
        <f t="shared" si="1"/>
        <v>2.3500000045169145</v>
      </c>
      <c r="U82" s="14">
        <f t="shared" si="2"/>
        <v>5.0833333376795053</v>
      </c>
      <c r="V82" s="8" t="s">
        <v>400</v>
      </c>
      <c r="W82" s="16" t="s">
        <v>39</v>
      </c>
      <c r="X82" s="10" t="s">
        <v>40</v>
      </c>
      <c r="Y82" s="10" t="s">
        <v>365</v>
      </c>
      <c r="Z82" s="10" t="s">
        <v>366</v>
      </c>
      <c r="AA82" s="8" t="s">
        <v>43</v>
      </c>
      <c r="AB82" s="8"/>
    </row>
    <row r="83" spans="1:28" ht="14.25" x14ac:dyDescent="0.2">
      <c r="A83" s="8">
        <v>82</v>
      </c>
      <c r="B83" s="21" t="s">
        <v>401</v>
      </c>
      <c r="C83" s="15" t="s">
        <v>28</v>
      </c>
      <c r="D83" s="9">
        <v>46104</v>
      </c>
      <c r="E83" s="8" t="s">
        <v>333</v>
      </c>
      <c r="F83" s="12" t="s">
        <v>60</v>
      </c>
      <c r="G83" s="8" t="s">
        <v>349</v>
      </c>
      <c r="H83" s="11" t="s">
        <v>402</v>
      </c>
      <c r="I83" s="8" t="s">
        <v>403</v>
      </c>
      <c r="J83" s="8" t="s">
        <v>29</v>
      </c>
      <c r="K83" s="8" t="s">
        <v>29</v>
      </c>
      <c r="L83" s="8" t="s">
        <v>29</v>
      </c>
      <c r="M83" s="8" t="s">
        <v>107</v>
      </c>
      <c r="N83" s="8" t="s">
        <v>346</v>
      </c>
      <c r="O83" s="18">
        <v>46104.715752314813</v>
      </c>
      <c r="P83" s="18">
        <v>46104.717361111114</v>
      </c>
      <c r="Q83" s="14">
        <f t="shared" si="0"/>
        <v>2.3166666738688946</v>
      </c>
      <c r="R83" s="18">
        <v>46104.717361111114</v>
      </c>
      <c r="S83" s="18">
        <v>46104.721238425926</v>
      </c>
      <c r="T83" s="14">
        <f t="shared" si="1"/>
        <v>5.5833333288319409</v>
      </c>
      <c r="U83" s="14">
        <f t="shared" si="2"/>
        <v>7.9000000027008355</v>
      </c>
      <c r="V83" s="8" t="s">
        <v>404</v>
      </c>
      <c r="W83" s="16" t="s">
        <v>39</v>
      </c>
      <c r="X83" s="8" t="s">
        <v>66</v>
      </c>
      <c r="Y83" s="8" t="s">
        <v>67</v>
      </c>
      <c r="Z83" s="8" t="s">
        <v>67</v>
      </c>
      <c r="AA83" s="8" t="s">
        <v>43</v>
      </c>
      <c r="AB83" s="8"/>
    </row>
    <row r="84" spans="1:28" ht="14.25" x14ac:dyDescent="0.2">
      <c r="A84" s="8">
        <v>83</v>
      </c>
      <c r="B84" s="21" t="s">
        <v>405</v>
      </c>
      <c r="C84" s="15" t="s">
        <v>28</v>
      </c>
      <c r="D84" s="9">
        <v>46104</v>
      </c>
      <c r="E84" s="8" t="s">
        <v>333</v>
      </c>
      <c r="F84" s="12" t="s">
        <v>60</v>
      </c>
      <c r="G84" s="8" t="s">
        <v>349</v>
      </c>
      <c r="H84" s="11" t="s">
        <v>406</v>
      </c>
      <c r="I84" s="8" t="s">
        <v>374</v>
      </c>
      <c r="J84" s="8" t="s">
        <v>29</v>
      </c>
      <c r="K84" s="8" t="s">
        <v>29</v>
      </c>
      <c r="L84" s="8" t="s">
        <v>407</v>
      </c>
      <c r="M84" s="8" t="s">
        <v>36</v>
      </c>
      <c r="N84" s="8" t="s">
        <v>408</v>
      </c>
      <c r="O84" s="18">
        <v>46104.740312499998</v>
      </c>
      <c r="P84" s="18">
        <v>46104.743784722225</v>
      </c>
      <c r="Q84" s="14">
        <f t="shared" si="0"/>
        <v>5.0000000058207661</v>
      </c>
      <c r="R84" s="18">
        <v>46104.772812499999</v>
      </c>
      <c r="S84" s="18">
        <v>46104.868946759256</v>
      </c>
      <c r="T84" s="14">
        <f t="shared" si="1"/>
        <v>138.4333333291579</v>
      </c>
      <c r="U84" s="14">
        <f t="shared" si="2"/>
        <v>185.23333333083428</v>
      </c>
      <c r="V84" s="8" t="s">
        <v>409</v>
      </c>
      <c r="W84" s="16" t="s">
        <v>39</v>
      </c>
      <c r="X84" s="15" t="s">
        <v>40</v>
      </c>
      <c r="Y84" s="15" t="s">
        <v>41</v>
      </c>
      <c r="Z84" s="15" t="s">
        <v>42</v>
      </c>
      <c r="AA84" s="8" t="s">
        <v>43</v>
      </c>
      <c r="AB84" s="8"/>
    </row>
    <row r="85" spans="1:28" ht="14.25" x14ac:dyDescent="0.2">
      <c r="A85" s="8">
        <v>84</v>
      </c>
      <c r="B85" s="21" t="s">
        <v>410</v>
      </c>
      <c r="C85" s="15" t="s">
        <v>28</v>
      </c>
      <c r="D85" s="9">
        <v>46104</v>
      </c>
      <c r="E85" s="15" t="s">
        <v>333</v>
      </c>
      <c r="F85" s="12" t="s">
        <v>60</v>
      </c>
      <c r="G85" s="8" t="s">
        <v>349</v>
      </c>
      <c r="H85" s="11" t="s">
        <v>344</v>
      </c>
      <c r="I85" s="8" t="s">
        <v>411</v>
      </c>
      <c r="J85" s="8" t="s">
        <v>29</v>
      </c>
      <c r="K85" s="8" t="s">
        <v>29</v>
      </c>
      <c r="L85" s="8" t="s">
        <v>412</v>
      </c>
      <c r="M85" s="8" t="s">
        <v>36</v>
      </c>
      <c r="N85" s="8" t="s">
        <v>346</v>
      </c>
      <c r="O85" s="18">
        <v>46104.818530092591</v>
      </c>
      <c r="P85" s="18">
        <v>46104.820486111108</v>
      </c>
      <c r="Q85" s="14">
        <f t="shared" si="0"/>
        <v>2.8166666650213301</v>
      </c>
      <c r="R85" s="18">
        <v>46104.820486111108</v>
      </c>
      <c r="S85" s="18">
        <v>46104.822812500002</v>
      </c>
      <c r="T85" s="14">
        <f t="shared" si="1"/>
        <v>3.3500000077765435</v>
      </c>
      <c r="U85" s="14">
        <f t="shared" si="2"/>
        <v>6.1666666727978736</v>
      </c>
      <c r="V85" s="12" t="s">
        <v>354</v>
      </c>
      <c r="W85" s="16" t="s">
        <v>39</v>
      </c>
      <c r="X85" s="8" t="s">
        <v>66</v>
      </c>
      <c r="Y85" s="8" t="s">
        <v>67</v>
      </c>
      <c r="Z85" s="8" t="s">
        <v>67</v>
      </c>
      <c r="AA85" s="8" t="s">
        <v>43</v>
      </c>
      <c r="AB85" s="8"/>
    </row>
    <row r="86" spans="1:28" ht="28.5" x14ac:dyDescent="0.2">
      <c r="A86" s="8">
        <v>85</v>
      </c>
      <c r="B86" s="21" t="s">
        <v>413</v>
      </c>
      <c r="C86" s="15" t="s">
        <v>28</v>
      </c>
      <c r="D86" s="9">
        <v>46104</v>
      </c>
      <c r="E86" s="15" t="s">
        <v>333</v>
      </c>
      <c r="F86" s="12" t="s">
        <v>184</v>
      </c>
      <c r="G86" s="8" t="s">
        <v>55</v>
      </c>
      <c r="H86" s="20" t="s">
        <v>397</v>
      </c>
      <c r="I86" s="8" t="s">
        <v>414</v>
      </c>
      <c r="J86" s="8" t="s">
        <v>29</v>
      </c>
      <c r="K86" s="8" t="s">
        <v>29</v>
      </c>
      <c r="L86" s="8" t="s">
        <v>29</v>
      </c>
      <c r="M86" s="8" t="s">
        <v>36</v>
      </c>
      <c r="N86" s="8" t="s">
        <v>37</v>
      </c>
      <c r="O86" s="18">
        <v>46104.929780092592</v>
      </c>
      <c r="P86" s="18">
        <v>46104.931168981479</v>
      </c>
      <c r="Q86" s="14">
        <f t="shared" si="0"/>
        <v>1.9999999960418791</v>
      </c>
      <c r="R86" s="18">
        <v>46104.931168981479</v>
      </c>
      <c r="S86" s="18">
        <v>46104.932002314818</v>
      </c>
      <c r="T86" s="14">
        <f t="shared" si="1"/>
        <v>1.2000000081025064</v>
      </c>
      <c r="U86" s="14">
        <f t="shared" si="2"/>
        <v>3.2000000041443855</v>
      </c>
      <c r="V86" s="11" t="s">
        <v>317</v>
      </c>
      <c r="W86" s="16" t="s">
        <v>39</v>
      </c>
      <c r="X86" s="8" t="s">
        <v>66</v>
      </c>
      <c r="Y86" s="8" t="s">
        <v>67</v>
      </c>
      <c r="Z86" s="8" t="s">
        <v>67</v>
      </c>
      <c r="AA86" s="8" t="s">
        <v>43</v>
      </c>
      <c r="AB86" s="8"/>
    </row>
    <row r="87" spans="1:28" ht="28.5" x14ac:dyDescent="0.2">
      <c r="A87" s="8">
        <v>86</v>
      </c>
      <c r="B87" s="21" t="s">
        <v>415</v>
      </c>
      <c r="C87" s="15" t="s">
        <v>28</v>
      </c>
      <c r="D87" s="9">
        <v>46105</v>
      </c>
      <c r="E87" s="8" t="s">
        <v>254</v>
      </c>
      <c r="F87" s="12" t="s">
        <v>184</v>
      </c>
      <c r="G87" s="8" t="s">
        <v>55</v>
      </c>
      <c r="H87" s="8" t="s">
        <v>416</v>
      </c>
      <c r="I87" s="8" t="s">
        <v>417</v>
      </c>
      <c r="J87" s="8" t="s">
        <v>29</v>
      </c>
      <c r="K87" s="8" t="s">
        <v>29</v>
      </c>
      <c r="L87" s="8" t="s">
        <v>418</v>
      </c>
      <c r="M87" s="8" t="s">
        <v>36</v>
      </c>
      <c r="N87" s="8" t="s">
        <v>37</v>
      </c>
      <c r="O87" s="18">
        <v>46105.04959490741</v>
      </c>
      <c r="P87" s="22">
        <v>46105.053472222222</v>
      </c>
      <c r="Q87" s="14">
        <f t="shared" si="0"/>
        <v>5.5833333288319409</v>
      </c>
      <c r="R87" s="19">
        <v>46105.087337962963</v>
      </c>
      <c r="S87" s="19">
        <v>46105.139178240737</v>
      </c>
      <c r="T87" s="14">
        <f t="shared" si="1"/>
        <v>74.649999995017424</v>
      </c>
      <c r="U87" s="14">
        <f t="shared" si="2"/>
        <v>128.9999999909196</v>
      </c>
      <c r="V87" s="8" t="s">
        <v>419</v>
      </c>
      <c r="W87" s="16" t="s">
        <v>39</v>
      </c>
      <c r="X87" s="15" t="s">
        <v>40</v>
      </c>
      <c r="Y87" s="15" t="s">
        <v>41</v>
      </c>
      <c r="Z87" s="15" t="s">
        <v>42</v>
      </c>
      <c r="AA87" s="8" t="s">
        <v>43</v>
      </c>
      <c r="AB87" s="8"/>
    </row>
    <row r="88" spans="1:28" ht="28.5" x14ac:dyDescent="0.2">
      <c r="A88" s="8">
        <v>87</v>
      </c>
      <c r="B88" s="21" t="s">
        <v>420</v>
      </c>
      <c r="C88" s="15" t="s">
        <v>28</v>
      </c>
      <c r="D88" s="9">
        <v>46105</v>
      </c>
      <c r="E88" s="8" t="s">
        <v>290</v>
      </c>
      <c r="F88" s="12" t="s">
        <v>184</v>
      </c>
      <c r="G88" s="8" t="s">
        <v>55</v>
      </c>
      <c r="H88" s="8" t="s">
        <v>392</v>
      </c>
      <c r="I88" s="8" t="s">
        <v>218</v>
      </c>
      <c r="J88" s="8" t="s">
        <v>29</v>
      </c>
      <c r="K88" s="8" t="s">
        <v>29</v>
      </c>
      <c r="L88" s="8" t="s">
        <v>421</v>
      </c>
      <c r="M88" s="8" t="s">
        <v>36</v>
      </c>
      <c r="N88" s="8" t="s">
        <v>37</v>
      </c>
      <c r="O88" s="18">
        <v>46105.40693287037</v>
      </c>
      <c r="P88" s="23">
        <v>46105.409166666665</v>
      </c>
      <c r="Q88" s="14">
        <f t="shared" si="0"/>
        <v>3.2166666642297059</v>
      </c>
      <c r="R88" s="23">
        <v>46105.412754629629</v>
      </c>
      <c r="S88" s="23">
        <v>46105.449884259258</v>
      </c>
      <c r="T88" s="14">
        <f t="shared" si="1"/>
        <v>53.46666666562669</v>
      </c>
      <c r="U88" s="14">
        <f t="shared" si="2"/>
        <v>61.84999999939464</v>
      </c>
      <c r="V88" s="12" t="s">
        <v>422</v>
      </c>
      <c r="W88" s="16" t="s">
        <v>39</v>
      </c>
      <c r="X88" s="10" t="s">
        <v>40</v>
      </c>
      <c r="Y88" s="10" t="s">
        <v>365</v>
      </c>
      <c r="Z88" s="10" t="s">
        <v>366</v>
      </c>
      <c r="AA88" s="8" t="s">
        <v>43</v>
      </c>
      <c r="AB88" s="8"/>
    </row>
    <row r="89" spans="1:28" ht="28.5" x14ac:dyDescent="0.2">
      <c r="A89" s="8">
        <v>88</v>
      </c>
      <c r="B89" s="21" t="s">
        <v>423</v>
      </c>
      <c r="C89" s="15" t="s">
        <v>28</v>
      </c>
      <c r="D89" s="9">
        <v>46105</v>
      </c>
      <c r="E89" s="8" t="s">
        <v>290</v>
      </c>
      <c r="F89" s="12" t="s">
        <v>184</v>
      </c>
      <c r="G89" s="8" t="s">
        <v>55</v>
      </c>
      <c r="H89" s="8" t="s">
        <v>392</v>
      </c>
      <c r="I89" s="8" t="s">
        <v>335</v>
      </c>
      <c r="J89" s="8" t="s">
        <v>29</v>
      </c>
      <c r="K89" s="8" t="s">
        <v>29</v>
      </c>
      <c r="L89" s="8" t="s">
        <v>336</v>
      </c>
      <c r="M89" s="8" t="s">
        <v>36</v>
      </c>
      <c r="N89" s="8" t="s">
        <v>37</v>
      </c>
      <c r="O89" s="18">
        <v>46105.438287037039</v>
      </c>
      <c r="P89" s="19">
        <v>46105.439722222225</v>
      </c>
      <c r="Q89" s="14">
        <f t="shared" si="0"/>
        <v>2.0666666678152978</v>
      </c>
      <c r="R89" s="23">
        <v>46105.489247685182</v>
      </c>
      <c r="S89" s="23">
        <v>46105.514652777776</v>
      </c>
      <c r="T89" s="14">
        <f t="shared" si="1"/>
        <v>36.58333333558403</v>
      </c>
      <c r="U89" s="14">
        <f t="shared" si="2"/>
        <v>109.96666666120291</v>
      </c>
      <c r="V89" s="12" t="s">
        <v>422</v>
      </c>
      <c r="W89" s="16" t="s">
        <v>39</v>
      </c>
      <c r="X89" s="10" t="s">
        <v>40</v>
      </c>
      <c r="Y89" s="10" t="s">
        <v>365</v>
      </c>
      <c r="Z89" s="10" t="s">
        <v>366</v>
      </c>
      <c r="AA89" s="8" t="s">
        <v>43</v>
      </c>
      <c r="AB89" s="8"/>
    </row>
    <row r="90" spans="1:28" ht="28.5" x14ac:dyDescent="0.2">
      <c r="A90" s="8">
        <v>89</v>
      </c>
      <c r="B90" s="21" t="s">
        <v>424</v>
      </c>
      <c r="C90" s="15" t="s">
        <v>28</v>
      </c>
      <c r="D90" s="9">
        <v>46105</v>
      </c>
      <c r="E90" s="8" t="s">
        <v>183</v>
      </c>
      <c r="F90" s="12" t="s">
        <v>184</v>
      </c>
      <c r="G90" s="8" t="s">
        <v>55</v>
      </c>
      <c r="H90" s="8" t="s">
        <v>392</v>
      </c>
      <c r="I90" s="8" t="s">
        <v>425</v>
      </c>
      <c r="J90" s="8" t="s">
        <v>29</v>
      </c>
      <c r="K90" s="8" t="s">
        <v>29</v>
      </c>
      <c r="L90" s="8" t="s">
        <v>426</v>
      </c>
      <c r="M90" s="8" t="s">
        <v>107</v>
      </c>
      <c r="N90" s="8" t="s">
        <v>37</v>
      </c>
      <c r="O90" s="18">
        <v>46105.50273148148</v>
      </c>
      <c r="P90" s="18">
        <v>46105.504120370373</v>
      </c>
      <c r="Q90" s="14">
        <f t="shared" si="0"/>
        <v>2.000000006519258</v>
      </c>
      <c r="R90" s="18">
        <v>46105.514537037037</v>
      </c>
      <c r="S90" s="23">
        <v>46105.660601851851</v>
      </c>
      <c r="T90" s="14">
        <f t="shared" si="1"/>
        <v>210.33333333092742</v>
      </c>
      <c r="U90" s="14">
        <f t="shared" si="2"/>
        <v>227.33333333395422</v>
      </c>
      <c r="V90" s="12" t="s">
        <v>427</v>
      </c>
      <c r="W90" s="16" t="s">
        <v>39</v>
      </c>
      <c r="X90" s="15" t="s">
        <v>40</v>
      </c>
      <c r="Y90" s="15" t="s">
        <v>41</v>
      </c>
      <c r="Z90" s="15" t="s">
        <v>53</v>
      </c>
      <c r="AA90" s="8" t="s">
        <v>43</v>
      </c>
      <c r="AB90" s="8"/>
    </row>
    <row r="91" spans="1:28" ht="28.5" x14ac:dyDescent="0.2">
      <c r="A91" s="8">
        <v>90</v>
      </c>
      <c r="B91" s="15" t="s">
        <v>428</v>
      </c>
      <c r="C91" s="15" t="s">
        <v>28</v>
      </c>
      <c r="D91" s="9">
        <v>46105</v>
      </c>
      <c r="E91" s="8" t="s">
        <v>290</v>
      </c>
      <c r="F91" s="12" t="s">
        <v>184</v>
      </c>
      <c r="G91" s="8" t="s">
        <v>55</v>
      </c>
      <c r="H91" s="20" t="s">
        <v>397</v>
      </c>
      <c r="I91" s="8" t="s">
        <v>187</v>
      </c>
      <c r="J91" s="8" t="s">
        <v>29</v>
      </c>
      <c r="K91" s="8" t="s">
        <v>29</v>
      </c>
      <c r="L91" s="8" t="s">
        <v>429</v>
      </c>
      <c r="M91" s="8" t="s">
        <v>36</v>
      </c>
      <c r="N91" s="8" t="s">
        <v>37</v>
      </c>
      <c r="O91" s="18">
        <v>46105.56795138889</v>
      </c>
      <c r="P91" s="18">
        <v>46105.573622685188</v>
      </c>
      <c r="Q91" s="14">
        <f t="shared" si="0"/>
        <v>8.1666666688397527</v>
      </c>
      <c r="R91" s="18">
        <v>46105.573622685188</v>
      </c>
      <c r="S91" s="23">
        <v>46105.582673611112</v>
      </c>
      <c r="T91" s="14">
        <f t="shared" si="1"/>
        <v>13.033333331113681</v>
      </c>
      <c r="U91" s="14">
        <f t="shared" si="2"/>
        <v>21.199999999953434</v>
      </c>
      <c r="V91" s="11" t="s">
        <v>317</v>
      </c>
      <c r="W91" s="24" t="s">
        <v>39</v>
      </c>
      <c r="X91" s="12" t="s">
        <v>66</v>
      </c>
      <c r="Y91" s="8" t="s">
        <v>67</v>
      </c>
      <c r="Z91" s="8" t="s">
        <v>67</v>
      </c>
      <c r="AA91" s="8" t="s">
        <v>43</v>
      </c>
      <c r="AB91" s="8"/>
    </row>
    <row r="92" spans="1:28" ht="14.25" x14ac:dyDescent="0.2">
      <c r="A92" s="8">
        <v>91</v>
      </c>
      <c r="B92" s="15" t="s">
        <v>430</v>
      </c>
      <c r="C92" s="15" t="s">
        <v>28</v>
      </c>
      <c r="D92" s="9">
        <v>46106</v>
      </c>
      <c r="E92" s="8" t="s">
        <v>254</v>
      </c>
      <c r="F92" s="12" t="s">
        <v>60</v>
      </c>
      <c r="G92" s="8" t="s">
        <v>349</v>
      </c>
      <c r="H92" s="8" t="s">
        <v>431</v>
      </c>
      <c r="I92" s="8" t="s">
        <v>218</v>
      </c>
      <c r="J92" s="8" t="s">
        <v>29</v>
      </c>
      <c r="K92" s="8" t="s">
        <v>29</v>
      </c>
      <c r="L92" s="8" t="s">
        <v>432</v>
      </c>
      <c r="M92" s="8" t="s">
        <v>36</v>
      </c>
      <c r="N92" s="8" t="s">
        <v>37</v>
      </c>
      <c r="O92" s="18">
        <v>46105.971666666665</v>
      </c>
      <c r="P92" s="18">
        <v>46105.977083333331</v>
      </c>
      <c r="Q92" s="14">
        <f t="shared" si="0"/>
        <v>7.8000000002793968</v>
      </c>
      <c r="R92" s="25">
        <v>46106.017361111109</v>
      </c>
      <c r="S92" s="25">
        <v>46106.055590277778</v>
      </c>
      <c r="T92" s="14">
        <f t="shared" si="1"/>
        <v>55.050000002374873</v>
      </c>
      <c r="U92" s="14">
        <f t="shared" si="2"/>
        <v>120.85000000311993</v>
      </c>
      <c r="V92" s="8" t="s">
        <v>433</v>
      </c>
      <c r="W92" s="16" t="s">
        <v>39</v>
      </c>
      <c r="X92" s="10" t="s">
        <v>40</v>
      </c>
      <c r="Y92" s="15" t="s">
        <v>41</v>
      </c>
      <c r="Z92" s="8" t="s">
        <v>434</v>
      </c>
      <c r="AA92" s="8" t="s">
        <v>435</v>
      </c>
      <c r="AB92" s="8" t="s">
        <v>436</v>
      </c>
    </row>
    <row r="93" spans="1:28" ht="14.25" x14ac:dyDescent="0.2">
      <c r="A93" s="8">
        <v>92</v>
      </c>
      <c r="B93" s="15" t="s">
        <v>437</v>
      </c>
      <c r="C93" s="15" t="s">
        <v>28</v>
      </c>
      <c r="D93" s="9">
        <v>46106</v>
      </c>
      <c r="E93" s="8" t="s">
        <v>254</v>
      </c>
      <c r="F93" s="12" t="s">
        <v>60</v>
      </c>
      <c r="G93" s="8" t="s">
        <v>349</v>
      </c>
      <c r="H93" s="8" t="s">
        <v>438</v>
      </c>
      <c r="I93" s="8" t="s">
        <v>218</v>
      </c>
      <c r="J93" s="8" t="s">
        <v>29</v>
      </c>
      <c r="K93" s="8" t="s">
        <v>29</v>
      </c>
      <c r="L93" s="8" t="s">
        <v>432</v>
      </c>
      <c r="M93" s="8" t="s">
        <v>36</v>
      </c>
      <c r="N93" s="8" t="s">
        <v>37</v>
      </c>
      <c r="O93" s="18">
        <v>46106.112581018519</v>
      </c>
      <c r="P93" s="18">
        <v>46106.116666666669</v>
      </c>
      <c r="Q93" s="14">
        <f t="shared" si="0"/>
        <v>5.883333336096257</v>
      </c>
      <c r="R93" s="18">
        <v>46106.116666666669</v>
      </c>
      <c r="S93" s="25">
        <v>46106.125462962962</v>
      </c>
      <c r="T93" s="14">
        <f t="shared" si="1"/>
        <v>12.666666662553325</v>
      </c>
      <c r="U93" s="14">
        <f t="shared" si="2"/>
        <v>18.549999998649582</v>
      </c>
      <c r="V93" s="8" t="s">
        <v>439</v>
      </c>
      <c r="W93" s="16" t="s">
        <v>39</v>
      </c>
      <c r="X93" s="8" t="s">
        <v>66</v>
      </c>
      <c r="Y93" s="8" t="s">
        <v>67</v>
      </c>
      <c r="Z93" s="8" t="s">
        <v>67</v>
      </c>
      <c r="AA93" s="8" t="s">
        <v>435</v>
      </c>
      <c r="AB93" s="8"/>
    </row>
    <row r="94" spans="1:28" ht="28.5" x14ac:dyDescent="0.2">
      <c r="A94" s="8">
        <v>93</v>
      </c>
      <c r="B94" s="15" t="s">
        <v>440</v>
      </c>
      <c r="C94" s="15" t="s">
        <v>28</v>
      </c>
      <c r="D94" s="9">
        <v>46106</v>
      </c>
      <c r="E94" s="8" t="s">
        <v>254</v>
      </c>
      <c r="F94" s="12" t="s">
        <v>60</v>
      </c>
      <c r="G94" s="8" t="s">
        <v>349</v>
      </c>
      <c r="H94" s="20" t="s">
        <v>441</v>
      </c>
      <c r="I94" s="8" t="s">
        <v>203</v>
      </c>
      <c r="J94" s="8" t="s">
        <v>29</v>
      </c>
      <c r="K94" s="8" t="s">
        <v>29</v>
      </c>
      <c r="L94" s="8" t="s">
        <v>442</v>
      </c>
      <c r="M94" s="8" t="s">
        <v>36</v>
      </c>
      <c r="N94" s="8" t="s">
        <v>37</v>
      </c>
      <c r="O94" s="23">
        <v>46106.16196759259</v>
      </c>
      <c r="P94" s="23">
        <v>46106.164027777777</v>
      </c>
      <c r="Q94" s="14">
        <f t="shared" si="0"/>
        <v>2.9666666686534882</v>
      </c>
      <c r="R94" s="23">
        <v>46106.198738425926</v>
      </c>
      <c r="S94" s="23">
        <v>46106.26635416667</v>
      </c>
      <c r="T94" s="14">
        <f t="shared" si="1"/>
        <v>97.366666670423001</v>
      </c>
      <c r="U94" s="14">
        <f t="shared" si="2"/>
        <v>150.31666667433456</v>
      </c>
      <c r="V94" s="12" t="s">
        <v>443</v>
      </c>
      <c r="W94" s="16" t="s">
        <v>39</v>
      </c>
      <c r="X94" s="8" t="s">
        <v>66</v>
      </c>
      <c r="Y94" s="8" t="s">
        <v>67</v>
      </c>
      <c r="Z94" s="8" t="s">
        <v>67</v>
      </c>
      <c r="AA94" s="8" t="s">
        <v>43</v>
      </c>
      <c r="AB94" s="8" t="s">
        <v>444</v>
      </c>
    </row>
    <row r="95" spans="1:28" ht="28.5" x14ac:dyDescent="0.2">
      <c r="A95" s="8">
        <v>94</v>
      </c>
      <c r="B95" s="15" t="s">
        <v>445</v>
      </c>
      <c r="C95" s="15" t="s">
        <v>28</v>
      </c>
      <c r="D95" s="9">
        <v>46106</v>
      </c>
      <c r="E95" s="8" t="s">
        <v>290</v>
      </c>
      <c r="F95" s="12" t="s">
        <v>184</v>
      </c>
      <c r="G95" s="8" t="s">
        <v>55</v>
      </c>
      <c r="H95" s="8" t="s">
        <v>446</v>
      </c>
      <c r="I95" s="8" t="s">
        <v>417</v>
      </c>
      <c r="J95" s="8" t="s">
        <v>29</v>
      </c>
      <c r="K95" s="8" t="s">
        <v>29</v>
      </c>
      <c r="L95" s="8" t="s">
        <v>447</v>
      </c>
      <c r="M95" s="8" t="s">
        <v>36</v>
      </c>
      <c r="N95" s="8" t="s">
        <v>37</v>
      </c>
      <c r="O95" s="19">
        <v>46106.346909722219</v>
      </c>
      <c r="P95" s="19">
        <v>46106.350011574075</v>
      </c>
      <c r="Q95" s="14">
        <f t="shared" si="0"/>
        <v>4.4666666735429317</v>
      </c>
      <c r="R95" s="19">
        <v>46106.375972222224</v>
      </c>
      <c r="S95" s="19">
        <v>46106.41679398148</v>
      </c>
      <c r="T95" s="14">
        <f t="shared" si="1"/>
        <v>58.783333328319713</v>
      </c>
      <c r="U95" s="14">
        <f t="shared" si="2"/>
        <v>100.63333333586343</v>
      </c>
      <c r="V95" s="12" t="s">
        <v>448</v>
      </c>
      <c r="W95" s="16" t="s">
        <v>39</v>
      </c>
      <c r="X95" s="8" t="s">
        <v>66</v>
      </c>
      <c r="Y95" s="8" t="s">
        <v>67</v>
      </c>
      <c r="Z95" s="8" t="s">
        <v>67</v>
      </c>
      <c r="AA95" s="8" t="s">
        <v>43</v>
      </c>
      <c r="AB95" s="8" t="s">
        <v>449</v>
      </c>
    </row>
    <row r="96" spans="1:28" ht="42.75" x14ac:dyDescent="0.2">
      <c r="A96" s="8">
        <v>95</v>
      </c>
      <c r="B96" s="21" t="s">
        <v>450</v>
      </c>
      <c r="C96" s="17" t="s">
        <v>28</v>
      </c>
      <c r="D96" s="26">
        <v>46106</v>
      </c>
      <c r="E96" s="12" t="s">
        <v>183</v>
      </c>
      <c r="F96" s="12" t="s">
        <v>184</v>
      </c>
      <c r="G96" s="12" t="s">
        <v>55</v>
      </c>
      <c r="H96" s="12" t="s">
        <v>451</v>
      </c>
      <c r="I96" s="12" t="s">
        <v>282</v>
      </c>
      <c r="J96" s="8" t="s">
        <v>29</v>
      </c>
      <c r="K96" s="8" t="s">
        <v>29</v>
      </c>
      <c r="L96" s="12" t="s">
        <v>452</v>
      </c>
      <c r="M96" s="12" t="s">
        <v>107</v>
      </c>
      <c r="N96" s="12" t="s">
        <v>37</v>
      </c>
      <c r="O96" s="18">
        <v>46106.535034722219</v>
      </c>
      <c r="P96" s="18">
        <v>46106.535729166666</v>
      </c>
      <c r="Q96" s="14">
        <f t="shared" si="0"/>
        <v>1.000000003259629</v>
      </c>
      <c r="R96" s="18">
        <v>46106.537812499999</v>
      </c>
      <c r="S96" s="18">
        <v>46106.539270833331</v>
      </c>
      <c r="T96" s="14">
        <f t="shared" si="1"/>
        <v>2.0999999984633178</v>
      </c>
      <c r="U96" s="14">
        <f t="shared" si="2"/>
        <v>6.1000000010244548</v>
      </c>
      <c r="V96" s="12" t="s">
        <v>453</v>
      </c>
      <c r="W96" s="24" t="s">
        <v>39</v>
      </c>
      <c r="X96" s="12" t="s">
        <v>66</v>
      </c>
      <c r="Y96" s="12" t="s">
        <v>67</v>
      </c>
      <c r="Z96" s="8" t="s">
        <v>67</v>
      </c>
      <c r="AA96" s="12" t="s">
        <v>43</v>
      </c>
      <c r="AB96" s="12" t="s">
        <v>454</v>
      </c>
    </row>
    <row r="97" spans="1:28" ht="28.5" x14ac:dyDescent="0.2">
      <c r="A97" s="8">
        <v>96</v>
      </c>
      <c r="B97" s="17" t="s">
        <v>455</v>
      </c>
      <c r="C97" s="15" t="s">
        <v>28</v>
      </c>
      <c r="D97" s="26">
        <v>46106</v>
      </c>
      <c r="E97" s="8" t="s">
        <v>290</v>
      </c>
      <c r="F97" s="12" t="s">
        <v>184</v>
      </c>
      <c r="G97" s="12" t="s">
        <v>55</v>
      </c>
      <c r="H97" s="20" t="s">
        <v>397</v>
      </c>
      <c r="I97" s="8" t="s">
        <v>456</v>
      </c>
      <c r="J97" s="8" t="s">
        <v>29</v>
      </c>
      <c r="K97" s="8" t="s">
        <v>29</v>
      </c>
      <c r="L97" s="8" t="s">
        <v>457</v>
      </c>
      <c r="M97" s="12" t="s">
        <v>107</v>
      </c>
      <c r="N97" s="12" t="s">
        <v>37</v>
      </c>
      <c r="O97" s="19">
        <v>46106.595659722225</v>
      </c>
      <c r="P97" s="19">
        <v>46106.598749999997</v>
      </c>
      <c r="Q97" s="14">
        <f t="shared" si="0"/>
        <v>4.4499999925028533</v>
      </c>
      <c r="R97" s="19">
        <v>46106.598749999997</v>
      </c>
      <c r="S97" s="19">
        <v>46106.600138888891</v>
      </c>
      <c r="T97" s="14">
        <f t="shared" si="1"/>
        <v>2.000000006519258</v>
      </c>
      <c r="U97" s="14">
        <f t="shared" si="2"/>
        <v>6.4499999990221113</v>
      </c>
      <c r="V97" s="11" t="s">
        <v>317</v>
      </c>
      <c r="W97" s="24" t="s">
        <v>39</v>
      </c>
      <c r="X97" s="12" t="s">
        <v>66</v>
      </c>
      <c r="Y97" s="8" t="s">
        <v>67</v>
      </c>
      <c r="Z97" s="8" t="s">
        <v>67</v>
      </c>
      <c r="AA97" s="12" t="s">
        <v>43</v>
      </c>
      <c r="AB97" s="8" t="s">
        <v>29</v>
      </c>
    </row>
    <row r="98" spans="1:28" ht="28.5" x14ac:dyDescent="0.2">
      <c r="A98" s="8">
        <v>97</v>
      </c>
      <c r="B98" s="15" t="s">
        <v>458</v>
      </c>
      <c r="C98" s="15" t="s">
        <v>28</v>
      </c>
      <c r="D98" s="26">
        <v>46107</v>
      </c>
      <c r="E98" s="8" t="s">
        <v>254</v>
      </c>
      <c r="F98" s="12" t="s">
        <v>184</v>
      </c>
      <c r="G98" s="8" t="s">
        <v>55</v>
      </c>
      <c r="H98" s="8" t="s">
        <v>362</v>
      </c>
      <c r="I98" s="8" t="s">
        <v>459</v>
      </c>
      <c r="J98" s="8" t="s">
        <v>29</v>
      </c>
      <c r="K98" s="8" t="s">
        <v>29</v>
      </c>
      <c r="L98" s="8" t="s">
        <v>460</v>
      </c>
      <c r="M98" s="12" t="s">
        <v>107</v>
      </c>
      <c r="N98" s="12" t="s">
        <v>37</v>
      </c>
      <c r="O98" s="19">
        <v>46107.275254629632</v>
      </c>
      <c r="P98" s="19">
        <v>46107.27847222222</v>
      </c>
      <c r="Q98" s="14">
        <f t="shared" si="0"/>
        <v>4.6333333267830312</v>
      </c>
      <c r="R98" s="19">
        <v>46107.27847222222</v>
      </c>
      <c r="S98" s="19">
        <v>46107.289953703701</v>
      </c>
      <c r="T98" s="14">
        <f t="shared" si="1"/>
        <v>16.533333332045004</v>
      </c>
      <c r="U98" s="14">
        <f t="shared" si="2"/>
        <v>21.166666658828035</v>
      </c>
      <c r="V98" s="11" t="s">
        <v>317</v>
      </c>
      <c r="W98" s="24" t="s">
        <v>39</v>
      </c>
      <c r="X98" s="12" t="s">
        <v>66</v>
      </c>
      <c r="Y98" s="12" t="s">
        <v>67</v>
      </c>
      <c r="Z98" s="8" t="s">
        <v>67</v>
      </c>
      <c r="AA98" s="12" t="s">
        <v>43</v>
      </c>
      <c r="AB98" s="8" t="s">
        <v>29</v>
      </c>
    </row>
    <row r="99" spans="1:28" ht="28.5" x14ac:dyDescent="0.2">
      <c r="A99" s="8">
        <v>98</v>
      </c>
      <c r="B99" s="17" t="s">
        <v>461</v>
      </c>
      <c r="C99" s="15" t="s">
        <v>28</v>
      </c>
      <c r="D99" s="26">
        <v>46107</v>
      </c>
      <c r="E99" s="8" t="s">
        <v>333</v>
      </c>
      <c r="F99" s="12" t="s">
        <v>184</v>
      </c>
      <c r="G99" s="8" t="s">
        <v>55</v>
      </c>
      <c r="H99" s="8" t="s">
        <v>462</v>
      </c>
      <c r="I99" s="8" t="s">
        <v>463</v>
      </c>
      <c r="J99" s="8" t="s">
        <v>29</v>
      </c>
      <c r="K99" s="8" t="s">
        <v>29</v>
      </c>
      <c r="L99" s="8" t="s">
        <v>464</v>
      </c>
      <c r="M99" s="12" t="s">
        <v>107</v>
      </c>
      <c r="N99" s="12" t="s">
        <v>37</v>
      </c>
      <c r="O99" s="19">
        <v>46107.462430555555</v>
      </c>
      <c r="P99" s="19">
        <v>46107.464583333334</v>
      </c>
      <c r="Q99" s="14">
        <f t="shared" si="0"/>
        <v>3.1000000017229468</v>
      </c>
      <c r="R99" s="19">
        <v>46107.464583333334</v>
      </c>
      <c r="S99" s="19">
        <v>46107.483252314814</v>
      </c>
      <c r="T99" s="14">
        <f t="shared" si="1"/>
        <v>26.883333331206813</v>
      </c>
      <c r="U99" s="14">
        <f t="shared" si="2"/>
        <v>29.98333333292976</v>
      </c>
      <c r="V99" s="8" t="s">
        <v>465</v>
      </c>
      <c r="W99" s="24" t="s">
        <v>39</v>
      </c>
      <c r="X99" s="10" t="s">
        <v>40</v>
      </c>
      <c r="Y99" s="15" t="s">
        <v>41</v>
      </c>
      <c r="Z99" s="8" t="s">
        <v>434</v>
      </c>
      <c r="AA99" s="12" t="s">
        <v>43</v>
      </c>
      <c r="AB99" s="8" t="s">
        <v>466</v>
      </c>
    </row>
    <row r="100" spans="1:28" ht="28.5" x14ac:dyDescent="0.2">
      <c r="A100" s="8">
        <v>99</v>
      </c>
      <c r="B100" s="15" t="s">
        <v>467</v>
      </c>
      <c r="C100" s="15" t="s">
        <v>28</v>
      </c>
      <c r="D100" s="26">
        <v>46107</v>
      </c>
      <c r="E100" s="8" t="s">
        <v>333</v>
      </c>
      <c r="F100" s="12" t="s">
        <v>184</v>
      </c>
      <c r="G100" s="8" t="s">
        <v>55</v>
      </c>
      <c r="H100" s="8" t="s">
        <v>468</v>
      </c>
      <c r="I100" s="8" t="s">
        <v>459</v>
      </c>
      <c r="J100" s="8" t="s">
        <v>29</v>
      </c>
      <c r="K100" s="8" t="s">
        <v>29</v>
      </c>
      <c r="L100" s="8" t="s">
        <v>460</v>
      </c>
      <c r="M100" s="12" t="s">
        <v>107</v>
      </c>
      <c r="N100" s="12" t="s">
        <v>37</v>
      </c>
      <c r="O100" s="19">
        <v>46107.427268518521</v>
      </c>
      <c r="P100" s="19">
        <v>46107.430555555555</v>
      </c>
      <c r="Q100" s="14">
        <f t="shared" si="0"/>
        <v>4.7333333292044699</v>
      </c>
      <c r="R100" s="19">
        <v>46107.454861111109</v>
      </c>
      <c r="S100" s="19">
        <v>46107.463923611111</v>
      </c>
      <c r="T100" s="14">
        <f t="shared" si="1"/>
        <v>13.050000001676381</v>
      </c>
      <c r="U100" s="14">
        <f t="shared" si="2"/>
        <v>52.783333329716697</v>
      </c>
      <c r="V100" s="8" t="s">
        <v>469</v>
      </c>
      <c r="W100" s="24" t="s">
        <v>39</v>
      </c>
      <c r="X100" s="12" t="s">
        <v>66</v>
      </c>
      <c r="Y100" s="8" t="s">
        <v>67</v>
      </c>
      <c r="Z100" s="8" t="s">
        <v>67</v>
      </c>
      <c r="AA100" s="12" t="s">
        <v>43</v>
      </c>
      <c r="AB100" s="8" t="s">
        <v>470</v>
      </c>
    </row>
    <row r="101" spans="1:28" ht="28.5" x14ac:dyDescent="0.2">
      <c r="A101" s="8">
        <v>100</v>
      </c>
      <c r="B101" s="17" t="s">
        <v>471</v>
      </c>
      <c r="C101" s="15" t="s">
        <v>28</v>
      </c>
      <c r="D101" s="26">
        <v>46107</v>
      </c>
      <c r="E101" s="8" t="s">
        <v>333</v>
      </c>
      <c r="F101" s="12" t="s">
        <v>184</v>
      </c>
      <c r="G101" s="8" t="s">
        <v>55</v>
      </c>
      <c r="H101" s="8" t="s">
        <v>472</v>
      </c>
      <c r="I101" s="8" t="s">
        <v>459</v>
      </c>
      <c r="J101" s="8" t="s">
        <v>29</v>
      </c>
      <c r="K101" s="8" t="s">
        <v>29</v>
      </c>
      <c r="L101" s="8" t="s">
        <v>460</v>
      </c>
      <c r="M101" s="12" t="s">
        <v>107</v>
      </c>
      <c r="N101" s="12" t="s">
        <v>37</v>
      </c>
      <c r="O101" s="19">
        <v>46107.5233912037</v>
      </c>
      <c r="P101" s="19">
        <v>46107.52616898148</v>
      </c>
      <c r="Q101" s="14">
        <f t="shared" si="0"/>
        <v>4.0000000025611371</v>
      </c>
      <c r="R101" s="19">
        <v>46107.52616898148</v>
      </c>
      <c r="S101" s="19">
        <v>46107.533460648148</v>
      </c>
      <c r="T101" s="14">
        <f t="shared" si="1"/>
        <v>10.500000002793968</v>
      </c>
      <c r="U101" s="14">
        <f t="shared" si="2"/>
        <v>14.500000005355105</v>
      </c>
      <c r="V101" s="8" t="s">
        <v>473</v>
      </c>
      <c r="W101" s="24" t="s">
        <v>39</v>
      </c>
      <c r="X101" s="12" t="s">
        <v>66</v>
      </c>
      <c r="Y101" s="8" t="s">
        <v>67</v>
      </c>
      <c r="Z101" s="8" t="s">
        <v>67</v>
      </c>
      <c r="AA101" s="12" t="s">
        <v>43</v>
      </c>
      <c r="AB101" s="8" t="s">
        <v>470</v>
      </c>
    </row>
    <row r="102" spans="1:28" ht="28.5" x14ac:dyDescent="0.2">
      <c r="A102" s="8">
        <v>101</v>
      </c>
      <c r="B102" s="15" t="s">
        <v>474</v>
      </c>
      <c r="C102" s="15" t="s">
        <v>28</v>
      </c>
      <c r="D102" s="26">
        <v>46107</v>
      </c>
      <c r="E102" s="8" t="s">
        <v>265</v>
      </c>
      <c r="F102" s="12" t="s">
        <v>184</v>
      </c>
      <c r="G102" s="8" t="s">
        <v>55</v>
      </c>
      <c r="H102" s="8" t="s">
        <v>272</v>
      </c>
      <c r="I102" s="8" t="s">
        <v>96</v>
      </c>
      <c r="J102" s="8" t="s">
        <v>29</v>
      </c>
      <c r="K102" s="8" t="s">
        <v>29</v>
      </c>
      <c r="L102" s="8" t="s">
        <v>475</v>
      </c>
      <c r="M102" s="8" t="s">
        <v>36</v>
      </c>
      <c r="N102" s="8" t="s">
        <v>37</v>
      </c>
      <c r="O102" s="19">
        <v>46107.718252314815</v>
      </c>
      <c r="P102" s="19">
        <v>46107.719444444447</v>
      </c>
      <c r="Q102" s="14">
        <f t="shared" si="0"/>
        <v>1.7166666698176414</v>
      </c>
      <c r="R102" s="19">
        <v>46107.718252314815</v>
      </c>
      <c r="S102" s="19">
        <v>46107.719814814816</v>
      </c>
      <c r="T102" s="14">
        <f t="shared" si="1"/>
        <v>2.2500000020954758</v>
      </c>
      <c r="U102" s="14">
        <f t="shared" si="2"/>
        <v>2.2500000020954758</v>
      </c>
      <c r="V102" s="8" t="s">
        <v>279</v>
      </c>
      <c r="W102" s="24" t="s">
        <v>39</v>
      </c>
      <c r="X102" s="12" t="s">
        <v>66</v>
      </c>
      <c r="Y102" s="8" t="s">
        <v>67</v>
      </c>
      <c r="Z102" s="8" t="s">
        <v>67</v>
      </c>
      <c r="AA102" s="12" t="s">
        <v>43</v>
      </c>
      <c r="AB102" s="8" t="s">
        <v>29</v>
      </c>
    </row>
    <row r="103" spans="1:28" ht="28.5" x14ac:dyDescent="0.2">
      <c r="A103" s="8">
        <v>102</v>
      </c>
      <c r="B103" s="17" t="s">
        <v>476</v>
      </c>
      <c r="C103" s="15" t="s">
        <v>28</v>
      </c>
      <c r="D103" s="26">
        <v>46107</v>
      </c>
      <c r="E103" s="8" t="s">
        <v>265</v>
      </c>
      <c r="F103" s="12" t="s">
        <v>184</v>
      </c>
      <c r="G103" s="8" t="s">
        <v>55</v>
      </c>
      <c r="H103" s="8" t="s">
        <v>477</v>
      </c>
      <c r="I103" s="8" t="s">
        <v>478</v>
      </c>
      <c r="J103" s="8" t="s">
        <v>29</v>
      </c>
      <c r="K103" s="8" t="s">
        <v>29</v>
      </c>
      <c r="L103" s="8" t="s">
        <v>479</v>
      </c>
      <c r="M103" s="8" t="s">
        <v>36</v>
      </c>
      <c r="N103" s="8" t="s">
        <v>37</v>
      </c>
      <c r="O103" s="19">
        <v>46107.693124999998</v>
      </c>
      <c r="P103" s="19">
        <v>46107.694444444445</v>
      </c>
      <c r="Q103" s="14">
        <f t="shared" si="0"/>
        <v>1.9000000040978193</v>
      </c>
      <c r="R103" s="19">
        <v>46107.745833333334</v>
      </c>
      <c r="S103" s="19">
        <v>46107.763113425928</v>
      </c>
      <c r="T103" s="14">
        <f t="shared" si="1"/>
        <v>24.883333335164934</v>
      </c>
      <c r="U103" s="14">
        <f t="shared" si="2"/>
        <v>100.78333333949558</v>
      </c>
      <c r="V103" s="8" t="s">
        <v>480</v>
      </c>
      <c r="W103" s="24" t="s">
        <v>39</v>
      </c>
      <c r="X103" s="10" t="s">
        <v>40</v>
      </c>
      <c r="Y103" s="10" t="s">
        <v>365</v>
      </c>
      <c r="Z103" s="10" t="s">
        <v>366</v>
      </c>
      <c r="AA103" s="8" t="s">
        <v>43</v>
      </c>
      <c r="AB103" s="8" t="s">
        <v>481</v>
      </c>
    </row>
    <row r="104" spans="1:28" ht="28.5" x14ac:dyDescent="0.2">
      <c r="A104" s="8">
        <v>103</v>
      </c>
      <c r="B104" s="15" t="s">
        <v>482</v>
      </c>
      <c r="C104" s="15" t="s">
        <v>28</v>
      </c>
      <c r="D104" s="26">
        <v>46107</v>
      </c>
      <c r="E104" s="8" t="s">
        <v>265</v>
      </c>
      <c r="F104" s="12" t="s">
        <v>184</v>
      </c>
      <c r="G104" s="8" t="s">
        <v>55</v>
      </c>
      <c r="H104" s="8" t="s">
        <v>483</v>
      </c>
      <c r="I104" s="8" t="s">
        <v>484</v>
      </c>
      <c r="J104" s="8" t="s">
        <v>29</v>
      </c>
      <c r="K104" s="8" t="s">
        <v>29</v>
      </c>
      <c r="L104" s="8" t="s">
        <v>485</v>
      </c>
      <c r="M104" s="8" t="s">
        <v>36</v>
      </c>
      <c r="N104" s="8" t="s">
        <v>37</v>
      </c>
      <c r="O104" s="19">
        <v>46107.740532407406</v>
      </c>
      <c r="P104" s="19">
        <v>46107.742361111108</v>
      </c>
      <c r="Q104" s="14">
        <f t="shared" si="0"/>
        <v>2.6333333307411522</v>
      </c>
      <c r="R104" s="19">
        <v>46107.814583333333</v>
      </c>
      <c r="S104" s="19">
        <v>46107.971782407411</v>
      </c>
      <c r="T104" s="14">
        <f t="shared" si="1"/>
        <v>226.36666667181998</v>
      </c>
      <c r="U104" s="14">
        <f t="shared" si="2"/>
        <v>333.00000000628643</v>
      </c>
      <c r="V104" s="8" t="s">
        <v>486</v>
      </c>
      <c r="W104" s="24" t="s">
        <v>39</v>
      </c>
      <c r="X104" s="10" t="s">
        <v>40</v>
      </c>
      <c r="Y104" s="15" t="s">
        <v>487</v>
      </c>
      <c r="Z104" s="15" t="s">
        <v>488</v>
      </c>
      <c r="AA104" s="8" t="s">
        <v>43</v>
      </c>
      <c r="AB104" s="8" t="s">
        <v>481</v>
      </c>
    </row>
    <row r="105" spans="1:28" ht="28.5" x14ac:dyDescent="0.2">
      <c r="A105" s="8">
        <v>104</v>
      </c>
      <c r="B105" s="17" t="s">
        <v>489</v>
      </c>
      <c r="C105" s="15" t="s">
        <v>28</v>
      </c>
      <c r="D105" s="26">
        <v>46107</v>
      </c>
      <c r="E105" s="8" t="s">
        <v>265</v>
      </c>
      <c r="F105" s="12" t="s">
        <v>184</v>
      </c>
      <c r="G105" s="8" t="s">
        <v>55</v>
      </c>
      <c r="H105" s="8" t="s">
        <v>490</v>
      </c>
      <c r="I105" s="8" t="s">
        <v>491</v>
      </c>
      <c r="J105" s="8" t="s">
        <v>29</v>
      </c>
      <c r="K105" s="8" t="s">
        <v>29</v>
      </c>
      <c r="L105" s="8" t="s">
        <v>492</v>
      </c>
      <c r="M105" s="8" t="s">
        <v>36</v>
      </c>
      <c r="N105" s="8" t="s">
        <v>37</v>
      </c>
      <c r="O105" s="19">
        <v>46107.732939814814</v>
      </c>
      <c r="P105" s="19">
        <v>46107.736111111109</v>
      </c>
      <c r="Q105" s="14">
        <f t="shared" si="0"/>
        <v>4.5666666654869914</v>
      </c>
      <c r="R105" s="19">
        <v>46107.834722222222</v>
      </c>
      <c r="S105" s="19">
        <v>46107.844340277778</v>
      </c>
      <c r="T105" s="14">
        <f t="shared" si="1"/>
        <v>13.850000000093132</v>
      </c>
      <c r="U105" s="14">
        <f t="shared" si="2"/>
        <v>160.41666666744277</v>
      </c>
      <c r="V105" s="8" t="s">
        <v>480</v>
      </c>
      <c r="W105" s="24" t="s">
        <v>39</v>
      </c>
      <c r="X105" s="10" t="s">
        <v>40</v>
      </c>
      <c r="Y105" s="10" t="s">
        <v>365</v>
      </c>
      <c r="Z105" s="10" t="s">
        <v>366</v>
      </c>
      <c r="AA105" s="8" t="s">
        <v>43</v>
      </c>
      <c r="AB105" s="8" t="s">
        <v>493</v>
      </c>
    </row>
    <row r="106" spans="1:28" ht="28.5" x14ac:dyDescent="0.2">
      <c r="A106" s="8">
        <v>105</v>
      </c>
      <c r="B106" s="15" t="s">
        <v>494</v>
      </c>
      <c r="C106" s="15" t="s">
        <v>28</v>
      </c>
      <c r="D106" s="26">
        <v>46107</v>
      </c>
      <c r="E106" s="8" t="s">
        <v>265</v>
      </c>
      <c r="F106" s="12" t="s">
        <v>184</v>
      </c>
      <c r="G106" s="8" t="s">
        <v>55</v>
      </c>
      <c r="H106" s="8" t="s">
        <v>495</v>
      </c>
      <c r="I106" s="8" t="s">
        <v>218</v>
      </c>
      <c r="J106" s="8" t="s">
        <v>29</v>
      </c>
      <c r="K106" s="8" t="s">
        <v>29</v>
      </c>
      <c r="L106" s="8" t="s">
        <v>496</v>
      </c>
      <c r="M106" s="8" t="s">
        <v>36</v>
      </c>
      <c r="N106" s="8" t="s">
        <v>37</v>
      </c>
      <c r="O106" s="19">
        <v>46107.761655092596</v>
      </c>
      <c r="P106" s="19">
        <v>46107.762499999997</v>
      </c>
      <c r="Q106" s="14">
        <f t="shared" si="0"/>
        <v>1.2166666577104479</v>
      </c>
      <c r="R106" s="19">
        <v>46107.867361111108</v>
      </c>
      <c r="S106" s="19">
        <v>46107.885740740741</v>
      </c>
      <c r="T106" s="14">
        <f t="shared" si="1"/>
        <v>26.466666671913117</v>
      </c>
      <c r="U106" s="14">
        <f t="shared" si="2"/>
        <v>178.68333332939073</v>
      </c>
      <c r="V106" s="8" t="s">
        <v>497</v>
      </c>
      <c r="W106" s="24" t="s">
        <v>39</v>
      </c>
      <c r="X106" s="10" t="s">
        <v>40</v>
      </c>
      <c r="Y106" s="10" t="s">
        <v>365</v>
      </c>
      <c r="Z106" s="10" t="s">
        <v>366</v>
      </c>
      <c r="AA106" s="8" t="s">
        <v>43</v>
      </c>
      <c r="AB106" s="8" t="s">
        <v>498</v>
      </c>
    </row>
    <row r="107" spans="1:28" ht="28.5" x14ac:dyDescent="0.2">
      <c r="A107" s="8">
        <v>106</v>
      </c>
      <c r="B107" s="17" t="s">
        <v>499</v>
      </c>
      <c r="C107" s="15" t="s">
        <v>28</v>
      </c>
      <c r="D107" s="26">
        <v>46107</v>
      </c>
      <c r="E107" s="8" t="s">
        <v>265</v>
      </c>
      <c r="F107" s="12" t="s">
        <v>184</v>
      </c>
      <c r="G107" s="8" t="s">
        <v>55</v>
      </c>
      <c r="H107" s="8" t="s">
        <v>500</v>
      </c>
      <c r="I107" s="8" t="s">
        <v>45</v>
      </c>
      <c r="J107" s="8" t="s">
        <v>29</v>
      </c>
      <c r="K107" s="8" t="s">
        <v>29</v>
      </c>
      <c r="L107" s="8" t="s">
        <v>501</v>
      </c>
      <c r="M107" s="8" t="s">
        <v>36</v>
      </c>
      <c r="N107" s="8" t="s">
        <v>37</v>
      </c>
      <c r="O107" s="19">
        <v>46107.763692129629</v>
      </c>
      <c r="P107" s="19">
        <v>46107.76458333333</v>
      </c>
      <c r="Q107" s="14">
        <f t="shared" si="0"/>
        <v>1.2833333294838667</v>
      </c>
      <c r="R107" s="19">
        <v>46107.815972222219</v>
      </c>
      <c r="S107" s="19">
        <v>46107.835902777777</v>
      </c>
      <c r="T107" s="14">
        <f t="shared" si="1"/>
        <v>28.700000003445894</v>
      </c>
      <c r="U107" s="14">
        <f t="shared" si="2"/>
        <v>103.98333333316259</v>
      </c>
      <c r="V107" s="8" t="s">
        <v>497</v>
      </c>
      <c r="W107" s="24" t="s">
        <v>39</v>
      </c>
      <c r="X107" s="10" t="s">
        <v>40</v>
      </c>
      <c r="Y107" s="10" t="s">
        <v>365</v>
      </c>
      <c r="Z107" s="10" t="s">
        <v>366</v>
      </c>
      <c r="AA107" s="8" t="s">
        <v>43</v>
      </c>
      <c r="AB107" s="8" t="s">
        <v>498</v>
      </c>
    </row>
    <row r="108" spans="1:28" ht="28.5" x14ac:dyDescent="0.2">
      <c r="A108" s="8">
        <v>107</v>
      </c>
      <c r="B108" s="15" t="s">
        <v>502</v>
      </c>
      <c r="C108" s="15" t="s">
        <v>28</v>
      </c>
      <c r="D108" s="26">
        <v>46107</v>
      </c>
      <c r="E108" s="8" t="s">
        <v>265</v>
      </c>
      <c r="F108" s="8" t="s">
        <v>60</v>
      </c>
      <c r="G108" s="8" t="s">
        <v>503</v>
      </c>
      <c r="H108" s="8" t="s">
        <v>504</v>
      </c>
      <c r="I108" s="8" t="s">
        <v>234</v>
      </c>
      <c r="J108" s="8" t="s">
        <v>29</v>
      </c>
      <c r="K108" s="8" t="s">
        <v>29</v>
      </c>
      <c r="L108" s="8" t="s">
        <v>505</v>
      </c>
      <c r="M108" s="8" t="s">
        <v>36</v>
      </c>
      <c r="N108" s="8" t="s">
        <v>37</v>
      </c>
      <c r="O108" s="19">
        <v>46107.769432870373</v>
      </c>
      <c r="P108" s="19">
        <v>46107.775694444441</v>
      </c>
      <c r="Q108" s="14">
        <f t="shared" si="0"/>
        <v>9.0166666579898447</v>
      </c>
      <c r="R108" s="19">
        <v>46107.818749999999</v>
      </c>
      <c r="S108" s="19">
        <v>46107.988946759258</v>
      </c>
      <c r="T108" s="14">
        <f t="shared" si="1"/>
        <v>245.08333333418705</v>
      </c>
      <c r="U108" s="14">
        <f t="shared" si="2"/>
        <v>316.09999999520369</v>
      </c>
      <c r="V108" s="8" t="s">
        <v>506</v>
      </c>
      <c r="W108" s="24" t="s">
        <v>39</v>
      </c>
      <c r="X108" s="10" t="s">
        <v>40</v>
      </c>
      <c r="Y108" s="15" t="s">
        <v>487</v>
      </c>
      <c r="Z108" s="15" t="s">
        <v>488</v>
      </c>
      <c r="AA108" s="8" t="s">
        <v>43</v>
      </c>
      <c r="AB108" s="8" t="s">
        <v>498</v>
      </c>
    </row>
    <row r="109" spans="1:28" ht="28.5" x14ac:dyDescent="0.2">
      <c r="A109" s="8">
        <v>108</v>
      </c>
      <c r="B109" s="17" t="s">
        <v>507</v>
      </c>
      <c r="C109" s="15" t="s">
        <v>28</v>
      </c>
      <c r="D109" s="26">
        <v>46107</v>
      </c>
      <c r="E109" s="8" t="s">
        <v>265</v>
      </c>
      <c r="F109" s="12" t="s">
        <v>184</v>
      </c>
      <c r="G109" s="8" t="s">
        <v>55</v>
      </c>
      <c r="H109" s="8" t="s">
        <v>500</v>
      </c>
      <c r="I109" s="8" t="s">
        <v>508</v>
      </c>
      <c r="J109" s="8" t="s">
        <v>29</v>
      </c>
      <c r="K109" s="8" t="s">
        <v>29</v>
      </c>
      <c r="L109" s="8" t="s">
        <v>509</v>
      </c>
      <c r="M109" s="12" t="s">
        <v>107</v>
      </c>
      <c r="N109" s="12" t="s">
        <v>37</v>
      </c>
      <c r="O109" s="19">
        <v>46107.783645833333</v>
      </c>
      <c r="P109" s="19">
        <v>46107.786805555559</v>
      </c>
      <c r="Q109" s="14">
        <f t="shared" si="0"/>
        <v>4.5500000054016709</v>
      </c>
      <c r="R109" s="19">
        <v>46107.896527777775</v>
      </c>
      <c r="S109" s="19">
        <v>46107.921319444446</v>
      </c>
      <c r="T109" s="14">
        <f t="shared" si="1"/>
        <v>35.700000005308539</v>
      </c>
      <c r="U109" s="14">
        <f t="shared" si="2"/>
        <v>198.25000000186265</v>
      </c>
      <c r="V109" s="8" t="s">
        <v>510</v>
      </c>
      <c r="W109" s="24" t="s">
        <v>39</v>
      </c>
      <c r="X109" s="10" t="s">
        <v>40</v>
      </c>
      <c r="Y109" s="10" t="s">
        <v>365</v>
      </c>
      <c r="Z109" s="10" t="s">
        <v>366</v>
      </c>
      <c r="AA109" s="8" t="s">
        <v>43</v>
      </c>
      <c r="AB109" s="8" t="s">
        <v>511</v>
      </c>
    </row>
    <row r="110" spans="1:28" ht="28.5" x14ac:dyDescent="0.2">
      <c r="A110" s="8">
        <v>109</v>
      </c>
      <c r="B110" s="15" t="s">
        <v>512</v>
      </c>
      <c r="C110" s="15" t="s">
        <v>28</v>
      </c>
      <c r="D110" s="26">
        <v>46107</v>
      </c>
      <c r="E110" s="8" t="s">
        <v>265</v>
      </c>
      <c r="F110" s="8" t="s">
        <v>513</v>
      </c>
      <c r="G110" s="8" t="s">
        <v>514</v>
      </c>
      <c r="H110" s="8" t="s">
        <v>515</v>
      </c>
      <c r="I110" s="8" t="s">
        <v>411</v>
      </c>
      <c r="J110" s="8" t="s">
        <v>29</v>
      </c>
      <c r="K110" s="8" t="s">
        <v>29</v>
      </c>
      <c r="L110" s="8" t="s">
        <v>412</v>
      </c>
      <c r="M110" s="8" t="s">
        <v>36</v>
      </c>
      <c r="N110" s="8" t="s">
        <v>37</v>
      </c>
      <c r="O110" s="19">
        <v>46107.927395833336</v>
      </c>
      <c r="P110" s="19">
        <v>46107.934027777781</v>
      </c>
      <c r="Q110" s="14">
        <f t="shared" si="0"/>
        <v>9.5500000007450581</v>
      </c>
      <c r="R110" s="19">
        <v>46107.929166666669</v>
      </c>
      <c r="S110" s="19">
        <v>46108.010185185187</v>
      </c>
      <c r="T110" s="14">
        <f t="shared" si="1"/>
        <v>116.66666666627862</v>
      </c>
      <c r="U110" s="14">
        <f t="shared" si="2"/>
        <v>119.21666666516103</v>
      </c>
      <c r="V110" s="8" t="s">
        <v>516</v>
      </c>
      <c r="W110" s="24" t="s">
        <v>39</v>
      </c>
      <c r="X110" s="10" t="s">
        <v>40</v>
      </c>
      <c r="Y110" s="10" t="s">
        <v>365</v>
      </c>
      <c r="Z110" s="10" t="s">
        <v>366</v>
      </c>
      <c r="AA110" s="8" t="s">
        <v>517</v>
      </c>
      <c r="AB110" s="8" t="s">
        <v>511</v>
      </c>
    </row>
    <row r="111" spans="1:28" ht="15.7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row>
    <row r="112" spans="1:28" ht="15.7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spans="1:28" ht="15.7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row>
    <row r="114" spans="1:28" ht="15.7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row>
    <row r="115" spans="1:28" ht="15.7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row>
    <row r="116" spans="1:28" ht="15.7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spans="1:28" ht="15.7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row>
    <row r="118" spans="1:28" ht="15.7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row>
    <row r="119" spans="1:28" ht="15.7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row>
    <row r="120" spans="1:28" ht="15.7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spans="1:28" ht="15.7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row>
    <row r="122" spans="1:28" ht="15.7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row>
    <row r="123" spans="1:28" ht="15.7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row>
    <row r="124" spans="1:28" ht="15.7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row>
    <row r="125" spans="1:28" ht="15.7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row>
    <row r="126" spans="1:28" ht="15.7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row>
    <row r="127" spans="1:28" ht="15.7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row>
    <row r="128" spans="1:28" ht="15.7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row>
    <row r="129" spans="1:28" ht="15.7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row>
    <row r="130" spans="1:28" ht="15.7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row>
    <row r="131" spans="1:28" ht="15.7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row>
    <row r="132" spans="1:28" ht="15.7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spans="1:28" ht="15.7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spans="1:28" ht="15.7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row>
    <row r="135" spans="1:28" ht="15.7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spans="1:28" ht="15.7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row>
    <row r="137" spans="1:28" ht="15.7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row>
    <row r="138" spans="1:28" ht="15.7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row>
    <row r="139" spans="1:28" ht="15.7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row>
    <row r="140" spans="1:28" ht="15.7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row>
    <row r="141" spans="1:28" ht="15.7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row>
    <row r="142" spans="1:28" ht="15.7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spans="1:28" ht="15.7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row>
    <row r="144" spans="1:28" ht="15.7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row>
    <row r="145" spans="1:28" ht="15.7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row>
    <row r="146" spans="1:28" ht="15.7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spans="1:28" ht="15.7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spans="1:28" ht="15.7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row>
    <row r="149" spans="1:28" ht="15.7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row>
    <row r="150" spans="1:28" ht="15.7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spans="1:28" ht="15.7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row>
    <row r="152" spans="1:28" ht="15.7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row>
    <row r="153" spans="1:28" ht="15.7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row>
    <row r="154" spans="1:28" ht="15.7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row>
    <row r="155" spans="1:28" ht="15.7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row>
    <row r="156" spans="1:28" ht="15.7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row>
    <row r="157" spans="1:28" ht="15.7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row>
    <row r="158" spans="1:28" ht="15.7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row>
    <row r="159" spans="1:28" ht="15.7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row>
    <row r="160" spans="1:28" ht="15.7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row>
    <row r="161" spans="1:28" ht="15.7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row>
    <row r="162" spans="1:28" ht="15.7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row>
    <row r="163" spans="1:28" ht="15.7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row>
    <row r="164" spans="1:28" ht="15.7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row>
    <row r="165" spans="1:28" ht="15.7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row>
    <row r="166" spans="1:28" ht="15.7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row>
    <row r="167" spans="1:28" ht="15.7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row>
    <row r="168" spans="1:28" ht="15.7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row>
    <row r="169" spans="1:28" ht="15.7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row>
    <row r="170" spans="1:28" ht="15.7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row>
    <row r="171" spans="1:28" ht="15.7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row>
    <row r="172" spans="1:28" ht="15.7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row>
    <row r="173" spans="1:28" ht="15.7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row>
    <row r="174" spans="1:28" ht="15.7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row>
    <row r="175" spans="1:28" ht="15.7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row>
    <row r="176" spans="1:28" ht="15.7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row>
    <row r="177" spans="1:28" ht="15.7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row>
    <row r="178" spans="1:28" ht="15.7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spans="1:28" ht="15.7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row>
    <row r="180" spans="1:28" ht="15.7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row>
    <row r="181" spans="1:28" ht="15.7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row>
    <row r="182" spans="1:28" ht="15.7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row>
    <row r="183" spans="1:28" ht="15.7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row>
    <row r="184" spans="1:28" ht="15.7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row>
    <row r="185" spans="1:28" ht="15.7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row>
    <row r="186" spans="1:28" ht="15.7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row>
    <row r="187" spans="1:28" ht="15.7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row>
    <row r="188" spans="1:28" ht="15.7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row>
    <row r="189" spans="1:28" ht="15.7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row>
    <row r="190" spans="1:28" ht="15.7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row>
    <row r="191" spans="1:28" ht="15.7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row>
    <row r="192" spans="1:28" ht="15.7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row>
    <row r="193" spans="1:28" ht="15.7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row>
    <row r="194" spans="1:28" ht="15.7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row>
    <row r="195" spans="1:28" ht="15.7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row>
    <row r="196" spans="1:28" ht="15.7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row>
    <row r="197" spans="1:28" ht="15.7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row>
    <row r="198" spans="1:28" ht="15.7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row>
    <row r="199" spans="1:28" ht="15.7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row>
    <row r="200" spans="1:28" ht="15.7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row>
    <row r="201" spans="1:28" ht="15.7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row>
    <row r="202" spans="1:28" ht="15.7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row>
    <row r="203" spans="1:28" ht="15.7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row>
    <row r="204" spans="1:28" ht="15.7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row>
    <row r="205" spans="1:28" ht="15.7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row>
    <row r="206" spans="1:28" ht="15.7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row>
    <row r="207" spans="1:28" ht="15.7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row>
    <row r="208" spans="1:28" ht="15.7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row>
    <row r="209" spans="1:28" ht="15.7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row>
    <row r="210" spans="1:28" ht="15.7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row>
    <row r="211" spans="1:28" ht="15.7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row>
    <row r="212" spans="1:28" ht="15.7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row>
    <row r="213" spans="1:28" ht="15.7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row>
    <row r="214" spans="1:28" ht="15.7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row>
    <row r="215" spans="1:28" ht="15.7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row>
    <row r="216" spans="1:28" ht="15.7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row>
    <row r="217" spans="1:28" ht="15.7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row>
    <row r="218" spans="1:28" ht="15.7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row>
    <row r="219" spans="1:28" ht="15.7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row>
    <row r="220" spans="1:28" ht="15.7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row>
    <row r="221" spans="1:28" ht="15.7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row>
    <row r="222" spans="1:28" ht="15.7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row>
    <row r="223" spans="1:28" ht="15.7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row>
    <row r="224" spans="1:28" ht="15.7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row>
    <row r="225" spans="1:28" ht="15.7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row>
    <row r="226" spans="1:28" ht="15.7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row>
    <row r="227" spans="1:28" ht="15.7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row>
    <row r="228" spans="1:28" ht="15.7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row>
    <row r="229" spans="1:28" ht="15.7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row>
    <row r="230" spans="1:28" ht="15.7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row>
    <row r="231" spans="1:28" ht="15.7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row>
    <row r="232" spans="1:28" ht="15.7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row>
    <row r="233" spans="1:28" ht="15.7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row>
    <row r="234" spans="1:28" ht="15.7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row>
    <row r="235" spans="1:28" ht="15.7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row>
    <row r="236" spans="1:28" ht="15.7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row>
    <row r="237" spans="1:28" ht="15.7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row>
    <row r="238" spans="1:28" ht="15.75" customHeight="1" x14ac:dyDescent="0.2">
      <c r="A238" s="27"/>
      <c r="B238" s="27"/>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c r="AA238" s="28"/>
      <c r="AB238" s="28"/>
    </row>
    <row r="239" spans="1:28" ht="15.75" customHeight="1" x14ac:dyDescent="0.2">
      <c r="A239" s="27"/>
      <c r="B239" s="27"/>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c r="AA239" s="28"/>
      <c r="AB239" s="28"/>
    </row>
    <row r="240" spans="1:28" ht="15.75" customHeight="1" x14ac:dyDescent="0.2">
      <c r="A240" s="27"/>
      <c r="B240" s="27"/>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c r="AA240" s="28"/>
      <c r="AB240" s="28"/>
    </row>
    <row r="241" spans="1:28" ht="15.75" customHeight="1" x14ac:dyDescent="0.2">
      <c r="A241" s="27"/>
      <c r="B241" s="27"/>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c r="AA241" s="28"/>
      <c r="AB241" s="28"/>
    </row>
    <row r="242" spans="1:28" ht="15.75" customHeight="1" x14ac:dyDescent="0.2">
      <c r="A242" s="27"/>
      <c r="B242" s="27"/>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c r="AA242" s="28"/>
      <c r="AB242" s="28"/>
    </row>
    <row r="243" spans="1:28" ht="15.75" customHeight="1" x14ac:dyDescent="0.2">
      <c r="A243" s="27"/>
      <c r="B243" s="27"/>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c r="AA243" s="28"/>
      <c r="AB243" s="28"/>
    </row>
    <row r="244" spans="1:28" ht="15.75" customHeight="1" x14ac:dyDescent="0.2">
      <c r="A244" s="27"/>
      <c r="B244" s="27"/>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c r="AA244" s="28"/>
      <c r="AB244" s="28"/>
    </row>
    <row r="245" spans="1:28" ht="15.75" customHeight="1" x14ac:dyDescent="0.2">
      <c r="A245" s="27"/>
      <c r="B245" s="27"/>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c r="AA245" s="28"/>
      <c r="AB245" s="28"/>
    </row>
    <row r="246" spans="1:28" ht="15.75" customHeight="1" x14ac:dyDescent="0.2">
      <c r="A246" s="27"/>
      <c r="B246" s="27"/>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c r="AA246" s="28"/>
      <c r="AB246" s="28"/>
    </row>
    <row r="247" spans="1:28" ht="15.75" customHeight="1" x14ac:dyDescent="0.2">
      <c r="A247" s="27"/>
      <c r="B247" s="27"/>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c r="AA247" s="28"/>
      <c r="AB247" s="28"/>
    </row>
    <row r="248" spans="1:28" ht="15.75" customHeight="1" x14ac:dyDescent="0.2">
      <c r="A248" s="27"/>
      <c r="B248" s="27"/>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c r="AA248" s="28"/>
      <c r="AB248" s="28"/>
    </row>
    <row r="249" spans="1:28" ht="15.75" customHeight="1" x14ac:dyDescent="0.2">
      <c r="A249" s="27"/>
      <c r="B249" s="27"/>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c r="AA249" s="28"/>
      <c r="AB249" s="28"/>
    </row>
    <row r="250" spans="1:28" ht="15.75" customHeight="1" x14ac:dyDescent="0.2">
      <c r="A250" s="27"/>
      <c r="B250" s="27"/>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c r="AA250" s="28"/>
      <c r="AB250" s="28"/>
    </row>
    <row r="251" spans="1:28" ht="15.75" customHeight="1" x14ac:dyDescent="0.2">
      <c r="A251" s="27"/>
      <c r="B251" s="27"/>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c r="AA251" s="28"/>
      <c r="AB251" s="28"/>
    </row>
    <row r="252" spans="1:28" ht="15.75" customHeight="1" x14ac:dyDescent="0.2">
      <c r="A252" s="27"/>
      <c r="B252" s="27"/>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c r="AA252" s="28"/>
      <c r="AB252" s="28"/>
    </row>
    <row r="253" spans="1:28" ht="15.75" customHeight="1" x14ac:dyDescent="0.2">
      <c r="A253" s="27"/>
      <c r="B253" s="27"/>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c r="AA253" s="28"/>
      <c r="AB253" s="28"/>
    </row>
    <row r="254" spans="1:28" ht="15.75" customHeight="1" x14ac:dyDescent="0.2">
      <c r="A254" s="27"/>
      <c r="B254" s="27"/>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c r="AA254" s="28"/>
      <c r="AB254" s="28"/>
    </row>
    <row r="255" spans="1:28" ht="15.75" customHeight="1" x14ac:dyDescent="0.2">
      <c r="A255" s="27"/>
      <c r="B255" s="27"/>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c r="AA255" s="28"/>
      <c r="AB255" s="28"/>
    </row>
    <row r="256" spans="1:28" ht="15.75" customHeight="1" x14ac:dyDescent="0.2">
      <c r="A256" s="27"/>
      <c r="B256" s="27"/>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c r="AA256" s="28"/>
      <c r="AB256" s="28"/>
    </row>
    <row r="257" spans="1:28" ht="15.75" customHeight="1" x14ac:dyDescent="0.2">
      <c r="A257" s="27"/>
      <c r="B257" s="27"/>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c r="AA257" s="28"/>
      <c r="AB257" s="28"/>
    </row>
    <row r="258" spans="1:28" ht="15.75" customHeight="1" x14ac:dyDescent="0.2">
      <c r="A258" s="27"/>
      <c r="B258" s="27"/>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c r="AA258" s="28"/>
      <c r="AB258" s="28"/>
    </row>
    <row r="259" spans="1:28" ht="15.75" customHeight="1" x14ac:dyDescent="0.2">
      <c r="A259" s="27"/>
      <c r="B259" s="27"/>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c r="AA259" s="28"/>
      <c r="AB259" s="28"/>
    </row>
    <row r="260" spans="1:28" ht="15.75" customHeight="1" x14ac:dyDescent="0.2">
      <c r="A260" s="27"/>
      <c r="B260" s="27"/>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c r="AA260" s="28"/>
      <c r="AB260" s="28"/>
    </row>
    <row r="261" spans="1:28" ht="15.75" customHeight="1" x14ac:dyDescent="0.2">
      <c r="A261" s="27"/>
      <c r="B261" s="27"/>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c r="AA261" s="28"/>
      <c r="AB261" s="28"/>
    </row>
    <row r="262" spans="1:28" ht="15.75" customHeight="1" x14ac:dyDescent="0.2">
      <c r="A262" s="27"/>
      <c r="B262" s="27"/>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c r="AA262" s="28"/>
      <c r="AB262" s="28"/>
    </row>
    <row r="263" spans="1:28" ht="15.75" customHeight="1" x14ac:dyDescent="0.2">
      <c r="A263" s="27"/>
      <c r="B263" s="27"/>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c r="AA263" s="28"/>
      <c r="AB263" s="28"/>
    </row>
    <row r="264" spans="1:28" ht="15.75" customHeight="1" x14ac:dyDescent="0.2">
      <c r="A264" s="27"/>
      <c r="B264" s="27"/>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c r="AA264" s="28"/>
      <c r="AB264" s="28"/>
    </row>
    <row r="265" spans="1:28" ht="15.75" customHeight="1" x14ac:dyDescent="0.2">
      <c r="A265" s="27"/>
      <c r="B265" s="27"/>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c r="AA265" s="28"/>
      <c r="AB265" s="28"/>
    </row>
    <row r="266" spans="1:28" ht="15.75" customHeight="1" x14ac:dyDescent="0.2">
      <c r="A266" s="27"/>
      <c r="B266" s="27"/>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c r="AA266" s="28"/>
      <c r="AB266" s="28"/>
    </row>
    <row r="267" spans="1:28" ht="15.75" customHeight="1" x14ac:dyDescent="0.2">
      <c r="A267" s="27"/>
      <c r="B267" s="27"/>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c r="AA267" s="28"/>
      <c r="AB267" s="28"/>
    </row>
    <row r="268" spans="1:28" ht="15.75" customHeight="1" x14ac:dyDescent="0.2">
      <c r="A268" s="27"/>
      <c r="B268" s="27"/>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c r="AA268" s="28"/>
      <c r="AB268" s="28"/>
    </row>
    <row r="269" spans="1:28" ht="15.75" customHeight="1" x14ac:dyDescent="0.2">
      <c r="A269" s="27"/>
      <c r="B269" s="27"/>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c r="AA269" s="28"/>
      <c r="AB269" s="28"/>
    </row>
    <row r="270" spans="1:28" ht="15.75" customHeight="1" x14ac:dyDescent="0.2">
      <c r="A270" s="27"/>
      <c r="B270" s="27"/>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c r="AA270" s="28"/>
      <c r="AB270" s="28"/>
    </row>
    <row r="271" spans="1:28" ht="15.75" customHeight="1" x14ac:dyDescent="0.2">
      <c r="A271" s="27"/>
      <c r="B271" s="27"/>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c r="AA271" s="28"/>
      <c r="AB271" s="28"/>
    </row>
    <row r="272" spans="1:28" ht="15.75" customHeight="1" x14ac:dyDescent="0.2">
      <c r="A272" s="27"/>
      <c r="B272" s="27"/>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c r="AA272" s="28"/>
      <c r="AB272" s="28"/>
    </row>
    <row r="273" spans="1:28" ht="15.75" customHeight="1" x14ac:dyDescent="0.2">
      <c r="A273" s="27"/>
      <c r="B273" s="27"/>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c r="AA273" s="28"/>
      <c r="AB273" s="28"/>
    </row>
    <row r="274" spans="1:28" ht="15.75" customHeight="1" x14ac:dyDescent="0.2">
      <c r="A274" s="27"/>
      <c r="B274" s="27"/>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c r="AA274" s="28"/>
      <c r="AB274" s="28"/>
    </row>
    <row r="275" spans="1:28" ht="15.75" customHeight="1" x14ac:dyDescent="0.2">
      <c r="A275" s="27"/>
      <c r="B275" s="27"/>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c r="AA275" s="28"/>
      <c r="AB275" s="28"/>
    </row>
    <row r="276" spans="1:28" ht="15.75" customHeight="1" x14ac:dyDescent="0.2">
      <c r="A276" s="27"/>
      <c r="B276" s="27"/>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c r="AA276" s="28"/>
      <c r="AB276" s="28"/>
    </row>
    <row r="277" spans="1:28" ht="15.75" customHeight="1" x14ac:dyDescent="0.2">
      <c r="A277" s="27"/>
      <c r="B277" s="27"/>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c r="AA277" s="28"/>
      <c r="AB277" s="28"/>
    </row>
    <row r="278" spans="1:28" ht="15.75" customHeight="1" x14ac:dyDescent="0.2">
      <c r="A278" s="27"/>
      <c r="B278" s="27"/>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c r="AA278" s="28"/>
      <c r="AB278" s="28"/>
    </row>
    <row r="279" spans="1:28" ht="15.75" customHeight="1" x14ac:dyDescent="0.2">
      <c r="A279" s="27"/>
      <c r="B279" s="27"/>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c r="AA279" s="28"/>
      <c r="AB279" s="28"/>
    </row>
    <row r="280" spans="1:28" ht="15.75" customHeight="1" x14ac:dyDescent="0.2">
      <c r="A280" s="27"/>
      <c r="B280" s="27"/>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c r="AA280" s="28"/>
      <c r="AB280" s="28"/>
    </row>
    <row r="281" spans="1:28" ht="15.75" customHeight="1" x14ac:dyDescent="0.2">
      <c r="A281" s="27"/>
      <c r="B281" s="27"/>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c r="AA281" s="28"/>
      <c r="AB281" s="28"/>
    </row>
    <row r="282" spans="1:28" ht="15.75" customHeight="1" x14ac:dyDescent="0.2">
      <c r="A282" s="27"/>
      <c r="B282" s="27"/>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c r="AA282" s="28"/>
      <c r="AB282" s="28"/>
    </row>
    <row r="283" spans="1:28" ht="15.75" customHeight="1" x14ac:dyDescent="0.2">
      <c r="A283" s="27"/>
      <c r="B283" s="27"/>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c r="AA283" s="28"/>
      <c r="AB283" s="28"/>
    </row>
    <row r="284" spans="1:28" ht="15.75" customHeight="1" x14ac:dyDescent="0.2">
      <c r="A284" s="27"/>
      <c r="B284" s="27"/>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c r="AA284" s="28"/>
      <c r="AB284" s="28"/>
    </row>
    <row r="285" spans="1:28" ht="15.75" customHeight="1" x14ac:dyDescent="0.2">
      <c r="A285" s="27"/>
      <c r="B285" s="27"/>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c r="AA285" s="28"/>
      <c r="AB285" s="28"/>
    </row>
    <row r="286" spans="1:28" ht="15.75" customHeight="1" x14ac:dyDescent="0.2">
      <c r="A286" s="27"/>
      <c r="B286" s="27"/>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c r="AA286" s="28"/>
      <c r="AB286" s="28"/>
    </row>
    <row r="287" spans="1:28" ht="15.75" customHeight="1" x14ac:dyDescent="0.2">
      <c r="A287" s="27"/>
      <c r="B287" s="27"/>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c r="AA287" s="28"/>
      <c r="AB287" s="28"/>
    </row>
    <row r="288" spans="1:28" ht="15.75" customHeight="1" x14ac:dyDescent="0.2">
      <c r="A288" s="27"/>
      <c r="B288" s="27"/>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c r="AA288" s="28"/>
      <c r="AB288" s="28"/>
    </row>
    <row r="289" spans="1:28" ht="15.75" customHeight="1" x14ac:dyDescent="0.2">
      <c r="A289" s="27"/>
      <c r="B289" s="27"/>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c r="AA289" s="28"/>
      <c r="AB289" s="28"/>
    </row>
    <row r="290" spans="1:28" ht="15.75" customHeight="1" x14ac:dyDescent="0.2">
      <c r="A290" s="27"/>
      <c r="B290" s="27"/>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c r="AA290" s="28"/>
      <c r="AB290" s="28"/>
    </row>
    <row r="291" spans="1:28" ht="15.75" customHeight="1" x14ac:dyDescent="0.2">
      <c r="A291" s="27"/>
      <c r="B291" s="27"/>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c r="AA291" s="28"/>
      <c r="AB291" s="28"/>
    </row>
    <row r="292" spans="1:28" ht="15.75" customHeight="1" x14ac:dyDescent="0.2">
      <c r="A292" s="27"/>
      <c r="B292" s="27"/>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c r="AA292" s="28"/>
      <c r="AB292" s="28"/>
    </row>
    <row r="293" spans="1:28" ht="15.75" customHeight="1" x14ac:dyDescent="0.2">
      <c r="A293" s="27"/>
      <c r="B293" s="27"/>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c r="AA293" s="28"/>
      <c r="AB293" s="28"/>
    </row>
    <row r="294" spans="1:28" ht="15.75" customHeight="1" x14ac:dyDescent="0.2">
      <c r="A294" s="27"/>
      <c r="B294" s="27"/>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c r="AA294" s="28"/>
      <c r="AB294" s="28"/>
    </row>
    <row r="295" spans="1:28" ht="15.75" customHeight="1" x14ac:dyDescent="0.2">
      <c r="A295" s="27"/>
      <c r="B295" s="27"/>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c r="AA295" s="28"/>
      <c r="AB295" s="28"/>
    </row>
    <row r="296" spans="1:28" ht="15.75" customHeight="1" x14ac:dyDescent="0.2">
      <c r="A296" s="27"/>
      <c r="B296" s="27"/>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c r="AA296" s="28"/>
      <c r="AB296" s="28"/>
    </row>
    <row r="297" spans="1:28" ht="15.75" customHeight="1" x14ac:dyDescent="0.2">
      <c r="A297" s="27"/>
      <c r="B297" s="27"/>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c r="AA297" s="28"/>
      <c r="AB297" s="28"/>
    </row>
    <row r="298" spans="1:28" ht="15.75" customHeight="1" x14ac:dyDescent="0.2">
      <c r="A298" s="27"/>
      <c r="B298" s="27"/>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c r="AA298" s="28"/>
      <c r="AB298" s="28"/>
    </row>
    <row r="299" spans="1:28" ht="15.75" customHeight="1" x14ac:dyDescent="0.2">
      <c r="A299" s="27"/>
      <c r="B299" s="27"/>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c r="AA299" s="28"/>
      <c r="AB299" s="28"/>
    </row>
    <row r="300" spans="1:28" ht="15.75" customHeight="1" x14ac:dyDescent="0.2">
      <c r="A300" s="27"/>
      <c r="B300" s="27"/>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c r="AA300" s="28"/>
      <c r="AB300" s="28"/>
    </row>
    <row r="301" spans="1:28" ht="15.75" customHeight="1" x14ac:dyDescent="0.2">
      <c r="A301" s="27"/>
      <c r="B301" s="27"/>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c r="AA301" s="28"/>
      <c r="AB301" s="28"/>
    </row>
    <row r="302" spans="1:28" ht="15.75" customHeight="1" x14ac:dyDescent="0.2">
      <c r="A302" s="27"/>
      <c r="B302" s="27"/>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c r="AA302" s="28"/>
      <c r="AB302" s="28"/>
    </row>
    <row r="303" spans="1:28" ht="15.75" customHeight="1" x14ac:dyDescent="0.2">
      <c r="A303" s="27"/>
      <c r="B303" s="27"/>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c r="AA303" s="28"/>
      <c r="AB303" s="28"/>
    </row>
    <row r="304" spans="1:28" ht="15.75" customHeight="1" x14ac:dyDescent="0.2">
      <c r="A304" s="27"/>
      <c r="B304" s="27"/>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c r="AA304" s="28"/>
      <c r="AB304" s="28"/>
    </row>
    <row r="305" spans="1:28" ht="15.75" customHeight="1" x14ac:dyDescent="0.2">
      <c r="A305" s="27"/>
      <c r="B305" s="27"/>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c r="AA305" s="28"/>
      <c r="AB305" s="28"/>
    </row>
    <row r="306" spans="1:28" ht="15.75" customHeight="1" x14ac:dyDescent="0.2">
      <c r="A306" s="27"/>
      <c r="B306" s="27"/>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c r="AA306" s="28"/>
      <c r="AB306" s="28"/>
    </row>
    <row r="307" spans="1:28" ht="15.75" customHeight="1" x14ac:dyDescent="0.2">
      <c r="A307" s="27"/>
      <c r="B307" s="27"/>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c r="AA307" s="28"/>
      <c r="AB307" s="28"/>
    </row>
    <row r="308" spans="1:28" ht="15.75" customHeight="1" x14ac:dyDescent="0.2">
      <c r="A308" s="27"/>
      <c r="B308" s="27"/>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c r="AA308" s="28"/>
      <c r="AB308" s="28"/>
    </row>
    <row r="309" spans="1:28" ht="15.75" customHeight="1" x14ac:dyDescent="0.2">
      <c r="A309" s="27"/>
      <c r="B309" s="27"/>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c r="AA309" s="28"/>
      <c r="AB309" s="28"/>
    </row>
    <row r="310" spans="1:28" ht="15.75" customHeight="1" x14ac:dyDescent="0.2">
      <c r="A310" s="27"/>
      <c r="B310" s="27"/>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c r="AA310" s="28"/>
      <c r="AB310" s="28"/>
    </row>
    <row r="311" spans="1:28" ht="15.75" customHeight="1" x14ac:dyDescent="0.2">
      <c r="A311" s="27"/>
      <c r="B311" s="27"/>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c r="AA311" s="28"/>
      <c r="AB311" s="28"/>
    </row>
    <row r="312" spans="1:28" ht="15.75" customHeight="1" x14ac:dyDescent="0.2">
      <c r="A312" s="27"/>
      <c r="B312" s="27"/>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c r="AA312" s="28"/>
      <c r="AB312" s="28"/>
    </row>
    <row r="313" spans="1:28" ht="15.75" customHeight="1" x14ac:dyDescent="0.2">
      <c r="A313" s="27"/>
      <c r="B313" s="27"/>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c r="AA313" s="28"/>
      <c r="AB313" s="28"/>
    </row>
    <row r="314" spans="1:28" ht="15.75" customHeight="1" x14ac:dyDescent="0.2">
      <c r="A314" s="27"/>
      <c r="B314" s="27"/>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c r="AA314" s="28"/>
      <c r="AB314" s="28"/>
    </row>
    <row r="315" spans="1:28" ht="15.75" customHeight="1" x14ac:dyDescent="0.2">
      <c r="A315" s="27"/>
      <c r="B315" s="27"/>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c r="AA315" s="28"/>
      <c r="AB315" s="28"/>
    </row>
    <row r="316" spans="1:28" ht="15.75" customHeight="1" x14ac:dyDescent="0.2">
      <c r="A316" s="27"/>
      <c r="B316" s="27"/>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c r="AA316" s="28"/>
      <c r="AB316" s="28"/>
    </row>
    <row r="317" spans="1:28" ht="15.75" customHeight="1" x14ac:dyDescent="0.2">
      <c r="A317" s="27"/>
      <c r="B317" s="27"/>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c r="AA317" s="28"/>
      <c r="AB317" s="28"/>
    </row>
    <row r="318" spans="1:28" ht="15.75" customHeight="1" x14ac:dyDescent="0.2">
      <c r="A318" s="27"/>
      <c r="B318" s="27"/>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c r="AA318" s="28"/>
      <c r="AB318" s="28"/>
    </row>
    <row r="319" spans="1:28" ht="15.75" customHeight="1" x14ac:dyDescent="0.2">
      <c r="A319" s="27"/>
      <c r="B319" s="27"/>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c r="AA319" s="28"/>
      <c r="AB319" s="28"/>
    </row>
    <row r="320" spans="1:28" ht="15.75" customHeight="1" x14ac:dyDescent="0.2">
      <c r="A320" s="27"/>
      <c r="B320" s="27"/>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c r="AA320" s="28"/>
      <c r="AB320" s="28"/>
    </row>
    <row r="321" spans="1:28" ht="15.75" customHeight="1" x14ac:dyDescent="0.2">
      <c r="A321" s="27"/>
      <c r="B321" s="27"/>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c r="AA321" s="28"/>
      <c r="AB321" s="28"/>
    </row>
    <row r="322" spans="1:28" ht="15.75" customHeight="1" x14ac:dyDescent="0.2">
      <c r="A322" s="27"/>
      <c r="B322" s="27"/>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c r="AA322" s="28"/>
      <c r="AB322" s="28"/>
    </row>
    <row r="323" spans="1:28" ht="15.75" customHeight="1" x14ac:dyDescent="0.2">
      <c r="A323" s="27"/>
      <c r="B323" s="27"/>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c r="AA323" s="28"/>
      <c r="AB323" s="28"/>
    </row>
    <row r="324" spans="1:28" ht="15.75" customHeight="1" x14ac:dyDescent="0.2">
      <c r="A324" s="27"/>
      <c r="B324" s="27"/>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c r="AA324" s="28"/>
      <c r="AB324" s="28"/>
    </row>
    <row r="325" spans="1:28" ht="15.75" customHeight="1" x14ac:dyDescent="0.2">
      <c r="A325" s="27"/>
      <c r="B325" s="27"/>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c r="AA325" s="28"/>
      <c r="AB325" s="28"/>
    </row>
    <row r="326" spans="1:28" ht="15.75" customHeight="1" x14ac:dyDescent="0.2">
      <c r="A326" s="27"/>
      <c r="B326" s="27"/>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c r="AA326" s="28"/>
      <c r="AB326" s="28"/>
    </row>
    <row r="327" spans="1:28" ht="15.75" customHeight="1" x14ac:dyDescent="0.2">
      <c r="A327" s="27"/>
      <c r="B327" s="27"/>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c r="AA327" s="28"/>
      <c r="AB327" s="28"/>
    </row>
    <row r="328" spans="1:28" ht="15.75" customHeight="1" x14ac:dyDescent="0.2">
      <c r="A328" s="27"/>
      <c r="B328" s="27"/>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c r="AA328" s="28"/>
      <c r="AB328" s="28"/>
    </row>
    <row r="329" spans="1:28" ht="15.75" customHeight="1" x14ac:dyDescent="0.2">
      <c r="A329" s="27"/>
      <c r="B329" s="27"/>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c r="AA329" s="28"/>
      <c r="AB329" s="28"/>
    </row>
    <row r="330" spans="1:28" ht="15.75" customHeight="1" x14ac:dyDescent="0.2">
      <c r="A330" s="27"/>
      <c r="B330" s="27"/>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c r="AA330" s="28"/>
      <c r="AB330" s="28"/>
    </row>
    <row r="331" spans="1:28" ht="15.75" customHeight="1" x14ac:dyDescent="0.2">
      <c r="A331" s="27"/>
      <c r="B331" s="27"/>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c r="AA331" s="28"/>
      <c r="AB331" s="28"/>
    </row>
    <row r="332" spans="1:28" ht="15.75" customHeight="1" x14ac:dyDescent="0.2">
      <c r="A332" s="27"/>
      <c r="B332" s="27"/>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c r="AA332" s="28"/>
      <c r="AB332" s="28"/>
    </row>
    <row r="333" spans="1:28" ht="15.75" customHeight="1" x14ac:dyDescent="0.2">
      <c r="A333" s="27"/>
      <c r="B333" s="27"/>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c r="AA333" s="28"/>
      <c r="AB333" s="28"/>
    </row>
    <row r="334" spans="1:28" ht="15.75" customHeight="1" x14ac:dyDescent="0.2">
      <c r="A334" s="27"/>
      <c r="B334" s="27"/>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c r="AA334" s="28"/>
      <c r="AB334" s="28"/>
    </row>
    <row r="335" spans="1:28" ht="15.75" customHeight="1" x14ac:dyDescent="0.2">
      <c r="A335" s="27"/>
      <c r="B335" s="27"/>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c r="AA335" s="28"/>
      <c r="AB335" s="28"/>
    </row>
    <row r="336" spans="1:28" ht="15.75" customHeight="1" x14ac:dyDescent="0.2">
      <c r="A336" s="27"/>
      <c r="B336" s="27"/>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c r="AA336" s="28"/>
      <c r="AB336" s="28"/>
    </row>
    <row r="337" spans="1:28" ht="15.75" customHeight="1" x14ac:dyDescent="0.2">
      <c r="A337" s="27"/>
      <c r="B337" s="27"/>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c r="AA337" s="28"/>
      <c r="AB337" s="28"/>
    </row>
    <row r="338" spans="1:28" ht="15.75" customHeight="1" x14ac:dyDescent="0.2">
      <c r="A338" s="27"/>
      <c r="B338" s="27"/>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c r="AA338" s="28"/>
      <c r="AB338" s="28"/>
    </row>
    <row r="339" spans="1:28" ht="15.75" customHeight="1" x14ac:dyDescent="0.2">
      <c r="A339" s="27"/>
      <c r="B339" s="27"/>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c r="AA339" s="28"/>
      <c r="AB339" s="28"/>
    </row>
    <row r="340" spans="1:28" ht="15.75" customHeight="1" x14ac:dyDescent="0.2">
      <c r="A340" s="27"/>
      <c r="B340" s="27"/>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c r="AA340" s="28"/>
      <c r="AB340" s="28"/>
    </row>
    <row r="341" spans="1:28" ht="15.75" customHeight="1" x14ac:dyDescent="0.2">
      <c r="A341" s="27"/>
      <c r="B341" s="27"/>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c r="AA341" s="28"/>
      <c r="AB341" s="28"/>
    </row>
    <row r="342" spans="1:28" ht="15.75" customHeight="1" x14ac:dyDescent="0.2">
      <c r="A342" s="27"/>
      <c r="B342" s="27"/>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c r="AA342" s="28"/>
      <c r="AB342" s="28"/>
    </row>
    <row r="343" spans="1:28" ht="15.75" customHeight="1" x14ac:dyDescent="0.2">
      <c r="A343" s="27"/>
      <c r="B343" s="27"/>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c r="AA343" s="28"/>
      <c r="AB343" s="28"/>
    </row>
    <row r="344" spans="1:28" ht="15.75" customHeight="1" x14ac:dyDescent="0.2">
      <c r="A344" s="27"/>
      <c r="B344" s="27"/>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c r="AA344" s="28"/>
      <c r="AB344" s="28"/>
    </row>
    <row r="345" spans="1:28" ht="15.75" customHeight="1" x14ac:dyDescent="0.2">
      <c r="A345" s="27"/>
      <c r="B345" s="27"/>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c r="AA345" s="28"/>
      <c r="AB345" s="28"/>
    </row>
    <row r="346" spans="1:28" ht="15.75" customHeight="1" x14ac:dyDescent="0.2">
      <c r="A346" s="27"/>
      <c r="B346" s="27"/>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c r="AA346" s="28"/>
      <c r="AB346" s="28"/>
    </row>
    <row r="347" spans="1:28" ht="15.75" customHeight="1" x14ac:dyDescent="0.2">
      <c r="A347" s="27"/>
      <c r="B347" s="27"/>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c r="AA347" s="28"/>
      <c r="AB347" s="28"/>
    </row>
    <row r="348" spans="1:28" ht="15.75" customHeight="1" x14ac:dyDescent="0.2">
      <c r="A348" s="27"/>
      <c r="B348" s="27"/>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c r="AA348" s="28"/>
      <c r="AB348" s="28"/>
    </row>
    <row r="349" spans="1:28" ht="15.75" customHeight="1" x14ac:dyDescent="0.2">
      <c r="A349" s="27"/>
      <c r="B349" s="27"/>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c r="AA349" s="28"/>
      <c r="AB349" s="28"/>
    </row>
    <row r="350" spans="1:28" ht="15.75" customHeight="1" x14ac:dyDescent="0.2">
      <c r="A350" s="27"/>
      <c r="B350" s="27"/>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c r="AA350" s="28"/>
      <c r="AB350" s="28"/>
    </row>
    <row r="351" spans="1:28" ht="15.75" customHeight="1" x14ac:dyDescent="0.2">
      <c r="A351" s="27"/>
      <c r="B351" s="27"/>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c r="AA351" s="28"/>
      <c r="AB351" s="28"/>
    </row>
    <row r="352" spans="1:28" ht="15.75" customHeight="1" x14ac:dyDescent="0.2">
      <c r="A352" s="27"/>
      <c r="B352" s="27"/>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c r="AA352" s="28"/>
      <c r="AB352" s="28"/>
    </row>
    <row r="353" spans="1:28" ht="15.75" customHeight="1" x14ac:dyDescent="0.2">
      <c r="A353" s="27"/>
      <c r="B353" s="27"/>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c r="AA353" s="28"/>
      <c r="AB353" s="28"/>
    </row>
    <row r="354" spans="1:28" ht="15.75" customHeight="1" x14ac:dyDescent="0.2">
      <c r="A354" s="27"/>
      <c r="B354" s="27"/>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c r="AA354" s="28"/>
      <c r="AB354" s="28"/>
    </row>
    <row r="355" spans="1:28" ht="15.75" customHeight="1" x14ac:dyDescent="0.2">
      <c r="A355" s="27"/>
      <c r="B355" s="27"/>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c r="AA355" s="28"/>
      <c r="AB355" s="28"/>
    </row>
    <row r="356" spans="1:28" ht="15.75" customHeight="1" x14ac:dyDescent="0.2">
      <c r="A356" s="27"/>
      <c r="B356" s="27"/>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c r="AA356" s="28"/>
      <c r="AB356" s="28"/>
    </row>
    <row r="357" spans="1:28" ht="15.75" customHeight="1" x14ac:dyDescent="0.2">
      <c r="A357" s="27"/>
      <c r="B357" s="27"/>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c r="AA357" s="28"/>
      <c r="AB357" s="28"/>
    </row>
    <row r="358" spans="1:28" ht="15.75" customHeight="1" x14ac:dyDescent="0.2">
      <c r="A358" s="27"/>
      <c r="B358" s="27"/>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c r="AA358" s="28"/>
      <c r="AB358" s="28"/>
    </row>
    <row r="359" spans="1:28" ht="15.75" customHeight="1" x14ac:dyDescent="0.2">
      <c r="A359" s="27"/>
      <c r="B359" s="27"/>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c r="AA359" s="28"/>
      <c r="AB359" s="28"/>
    </row>
    <row r="360" spans="1:28" ht="15.75" customHeight="1" x14ac:dyDescent="0.2">
      <c r="A360" s="27"/>
      <c r="B360" s="27"/>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c r="AA360" s="28"/>
      <c r="AB360" s="28"/>
    </row>
    <row r="361" spans="1:28" ht="15.75" customHeight="1" x14ac:dyDescent="0.2">
      <c r="A361" s="27"/>
      <c r="B361" s="27"/>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c r="AA361" s="28"/>
      <c r="AB361" s="28"/>
    </row>
    <row r="362" spans="1:28" ht="15.75" customHeight="1" x14ac:dyDescent="0.2">
      <c r="A362" s="27"/>
      <c r="B362" s="27"/>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c r="AA362" s="28"/>
      <c r="AB362" s="28"/>
    </row>
    <row r="363" spans="1:28" ht="15.75" customHeight="1" x14ac:dyDescent="0.2">
      <c r="A363" s="27"/>
      <c r="B363" s="27"/>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c r="AA363" s="28"/>
      <c r="AB363" s="28"/>
    </row>
    <row r="364" spans="1:28" ht="15.75" customHeight="1" x14ac:dyDescent="0.2">
      <c r="A364" s="27"/>
      <c r="B364" s="27"/>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c r="AA364" s="28"/>
      <c r="AB364" s="28"/>
    </row>
    <row r="365" spans="1:28" ht="15.75" customHeight="1" x14ac:dyDescent="0.2">
      <c r="A365" s="27"/>
      <c r="B365" s="27"/>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c r="AA365" s="28"/>
      <c r="AB365" s="28"/>
    </row>
    <row r="366" spans="1:28" ht="15.75" customHeight="1" x14ac:dyDescent="0.2">
      <c r="A366" s="27"/>
      <c r="B366" s="27"/>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c r="AA366" s="28"/>
      <c r="AB366" s="28"/>
    </row>
    <row r="367" spans="1:28" ht="15.75" customHeight="1" x14ac:dyDescent="0.2">
      <c r="A367" s="27"/>
      <c r="B367" s="27"/>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c r="AA367" s="28"/>
      <c r="AB367" s="28"/>
    </row>
    <row r="368" spans="1:28" ht="15.75" customHeight="1" x14ac:dyDescent="0.2">
      <c r="A368" s="27"/>
      <c r="B368" s="27"/>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c r="AA368" s="28"/>
      <c r="AB368" s="28"/>
    </row>
    <row r="369" spans="1:28" ht="15.75" customHeight="1" x14ac:dyDescent="0.2">
      <c r="A369" s="27"/>
      <c r="B369" s="27"/>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c r="AA369" s="28"/>
      <c r="AB369" s="28"/>
    </row>
    <row r="370" spans="1:28" ht="15.75" customHeight="1" x14ac:dyDescent="0.2">
      <c r="A370" s="27"/>
      <c r="B370" s="27"/>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c r="AA370" s="28"/>
      <c r="AB370" s="28"/>
    </row>
    <row r="371" spans="1:28" ht="15.75" customHeight="1" x14ac:dyDescent="0.2">
      <c r="A371" s="27"/>
      <c r="B371" s="27"/>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c r="AA371" s="28"/>
      <c r="AB371" s="28"/>
    </row>
    <row r="372" spans="1:28" ht="15.75" customHeight="1" x14ac:dyDescent="0.2">
      <c r="A372" s="27"/>
      <c r="B372" s="27"/>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c r="AA372" s="28"/>
      <c r="AB372" s="28"/>
    </row>
    <row r="373" spans="1:28" ht="15.75" customHeight="1" x14ac:dyDescent="0.2">
      <c r="A373" s="27"/>
      <c r="B373" s="27"/>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c r="AA373" s="28"/>
      <c r="AB373" s="28"/>
    </row>
    <row r="374" spans="1:28" ht="15.75" customHeight="1" x14ac:dyDescent="0.2">
      <c r="A374" s="27"/>
      <c r="B374" s="27"/>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c r="AA374" s="28"/>
      <c r="AB374" s="28"/>
    </row>
    <row r="375" spans="1:28" ht="15.75" customHeight="1" x14ac:dyDescent="0.2">
      <c r="A375" s="27"/>
      <c r="B375" s="27"/>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c r="AA375" s="28"/>
      <c r="AB375" s="28"/>
    </row>
    <row r="376" spans="1:28" ht="15.75" customHeight="1" x14ac:dyDescent="0.2">
      <c r="A376" s="27"/>
      <c r="B376" s="27"/>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c r="AA376" s="28"/>
      <c r="AB376" s="28"/>
    </row>
    <row r="377" spans="1:28" ht="15.75" customHeight="1" x14ac:dyDescent="0.2">
      <c r="A377" s="27"/>
      <c r="B377" s="27"/>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c r="AA377" s="28"/>
      <c r="AB377" s="28"/>
    </row>
    <row r="378" spans="1:28" ht="15.75" customHeight="1" x14ac:dyDescent="0.2">
      <c r="A378" s="27"/>
      <c r="B378" s="27"/>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c r="AA378" s="28"/>
      <c r="AB378" s="28"/>
    </row>
    <row r="379" spans="1:28" ht="15.75" customHeight="1" x14ac:dyDescent="0.2">
      <c r="A379" s="27"/>
      <c r="B379" s="27"/>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c r="AA379" s="28"/>
      <c r="AB379" s="28"/>
    </row>
    <row r="380" spans="1:28" ht="15.75" customHeight="1" x14ac:dyDescent="0.2">
      <c r="A380" s="27"/>
      <c r="B380" s="27"/>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c r="AA380" s="28"/>
      <c r="AB380" s="28"/>
    </row>
    <row r="381" spans="1:28" ht="15.75" customHeight="1" x14ac:dyDescent="0.2">
      <c r="A381" s="27"/>
      <c r="B381" s="27"/>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c r="AA381" s="28"/>
      <c r="AB381" s="28"/>
    </row>
    <row r="382" spans="1:28" ht="15.75" customHeight="1" x14ac:dyDescent="0.2">
      <c r="A382" s="27"/>
      <c r="B382" s="27"/>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c r="AA382" s="28"/>
      <c r="AB382" s="28"/>
    </row>
    <row r="383" spans="1:28" ht="15.75" customHeight="1" x14ac:dyDescent="0.2">
      <c r="A383" s="27"/>
      <c r="B383" s="27"/>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c r="AA383" s="28"/>
      <c r="AB383" s="28"/>
    </row>
    <row r="384" spans="1:28" ht="15.75" customHeight="1" x14ac:dyDescent="0.2">
      <c r="A384" s="27"/>
      <c r="B384" s="27"/>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c r="AA384" s="28"/>
      <c r="AB384" s="28"/>
    </row>
    <row r="385" spans="1:28" ht="15.75" customHeight="1" x14ac:dyDescent="0.2">
      <c r="A385" s="27"/>
      <c r="B385" s="27"/>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c r="AA385" s="28"/>
      <c r="AB385" s="28"/>
    </row>
    <row r="386" spans="1:28" ht="15.75" customHeight="1" x14ac:dyDescent="0.2">
      <c r="A386" s="27"/>
      <c r="B386" s="27"/>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c r="AA386" s="28"/>
      <c r="AB386" s="28"/>
    </row>
    <row r="387" spans="1:28" ht="15.75" customHeight="1" x14ac:dyDescent="0.2">
      <c r="A387" s="27"/>
      <c r="B387" s="27"/>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c r="AA387" s="28"/>
      <c r="AB387" s="28"/>
    </row>
    <row r="388" spans="1:28" ht="15.75" customHeight="1" x14ac:dyDescent="0.2">
      <c r="A388" s="27"/>
      <c r="B388" s="27"/>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c r="AA388" s="28"/>
      <c r="AB388" s="28"/>
    </row>
    <row r="389" spans="1:28" ht="15.75" customHeight="1" x14ac:dyDescent="0.2">
      <c r="A389" s="27"/>
      <c r="B389" s="27"/>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c r="AA389" s="28"/>
      <c r="AB389" s="28"/>
    </row>
    <row r="390" spans="1:28" ht="15.75" customHeight="1" x14ac:dyDescent="0.2">
      <c r="A390" s="27"/>
      <c r="B390" s="27"/>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c r="AA390" s="28"/>
      <c r="AB390" s="28"/>
    </row>
    <row r="391" spans="1:28" ht="15.75" customHeight="1" x14ac:dyDescent="0.2">
      <c r="A391" s="27"/>
      <c r="B391" s="27"/>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c r="AA391" s="28"/>
      <c r="AB391" s="28"/>
    </row>
    <row r="392" spans="1:28" ht="15.75" customHeight="1" x14ac:dyDescent="0.2">
      <c r="A392" s="27"/>
      <c r="B392" s="27"/>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c r="AA392" s="28"/>
      <c r="AB392" s="28"/>
    </row>
    <row r="393" spans="1:28" ht="15.75" customHeight="1" x14ac:dyDescent="0.2">
      <c r="A393" s="27"/>
      <c r="B393" s="27"/>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c r="AA393" s="28"/>
      <c r="AB393" s="28"/>
    </row>
    <row r="394" spans="1:28" ht="15.75" customHeight="1" x14ac:dyDescent="0.2">
      <c r="A394" s="27"/>
      <c r="B394" s="27"/>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c r="AA394" s="28"/>
      <c r="AB394" s="28"/>
    </row>
    <row r="395" spans="1:28" ht="15.75" customHeight="1" x14ac:dyDescent="0.2">
      <c r="A395" s="27"/>
      <c r="B395" s="27"/>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c r="AA395" s="28"/>
      <c r="AB395" s="28"/>
    </row>
    <row r="396" spans="1:28" ht="15.75" customHeight="1" x14ac:dyDescent="0.2">
      <c r="A396" s="27"/>
      <c r="B396" s="27"/>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c r="AA396" s="28"/>
      <c r="AB396" s="28"/>
    </row>
    <row r="397" spans="1:28" ht="15.75" customHeight="1" x14ac:dyDescent="0.2">
      <c r="A397" s="27"/>
      <c r="B397" s="27"/>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c r="AA397" s="28"/>
      <c r="AB397" s="28"/>
    </row>
    <row r="398" spans="1:28" ht="15.75" customHeight="1" x14ac:dyDescent="0.2">
      <c r="A398" s="27"/>
      <c r="B398" s="27"/>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c r="AA398" s="28"/>
      <c r="AB398" s="28"/>
    </row>
    <row r="399" spans="1:28" ht="15.75" customHeight="1" x14ac:dyDescent="0.2">
      <c r="A399" s="27"/>
      <c r="B399" s="27"/>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c r="AA399" s="28"/>
      <c r="AB399" s="28"/>
    </row>
    <row r="400" spans="1:28" ht="15.75" customHeight="1" x14ac:dyDescent="0.2">
      <c r="A400" s="27"/>
      <c r="B400" s="27"/>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c r="AA400" s="28"/>
      <c r="AB400" s="28"/>
    </row>
    <row r="401" spans="1:28" ht="15.75" customHeight="1" x14ac:dyDescent="0.2">
      <c r="A401" s="27"/>
      <c r="B401" s="27"/>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c r="AA401" s="28"/>
      <c r="AB401" s="28"/>
    </row>
    <row r="402" spans="1:28" ht="15.75" customHeight="1" x14ac:dyDescent="0.2">
      <c r="A402" s="27"/>
      <c r="B402" s="27"/>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c r="AA402" s="28"/>
      <c r="AB402" s="28"/>
    </row>
    <row r="403" spans="1:28" ht="15.75" customHeight="1" x14ac:dyDescent="0.2">
      <c r="A403" s="27"/>
      <c r="B403" s="27"/>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c r="AA403" s="28"/>
      <c r="AB403" s="28"/>
    </row>
    <row r="404" spans="1:28" ht="15.75" customHeight="1" x14ac:dyDescent="0.2">
      <c r="A404" s="27"/>
      <c r="B404" s="27"/>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c r="AA404" s="28"/>
      <c r="AB404" s="28"/>
    </row>
    <row r="405" spans="1:28" ht="15.75" customHeight="1" x14ac:dyDescent="0.2">
      <c r="A405" s="27"/>
      <c r="B405" s="27"/>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c r="AA405" s="28"/>
      <c r="AB405" s="28"/>
    </row>
    <row r="406" spans="1:28" ht="15.75" customHeight="1" x14ac:dyDescent="0.2">
      <c r="A406" s="27"/>
      <c r="B406" s="27"/>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c r="AA406" s="28"/>
      <c r="AB406" s="28"/>
    </row>
    <row r="407" spans="1:28" ht="15.75" customHeight="1" x14ac:dyDescent="0.2">
      <c r="A407" s="27"/>
      <c r="B407" s="27"/>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c r="AA407" s="28"/>
      <c r="AB407" s="28"/>
    </row>
    <row r="408" spans="1:28" ht="15.75" customHeight="1" x14ac:dyDescent="0.2">
      <c r="A408" s="27"/>
      <c r="B408" s="27"/>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c r="AA408" s="28"/>
      <c r="AB408" s="28"/>
    </row>
    <row r="409" spans="1:28" ht="15.75" customHeight="1" x14ac:dyDescent="0.2">
      <c r="A409" s="27"/>
      <c r="B409" s="27"/>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c r="AA409" s="28"/>
      <c r="AB409" s="28"/>
    </row>
    <row r="410" spans="1:28" ht="15.75" customHeight="1" x14ac:dyDescent="0.2">
      <c r="A410" s="27"/>
      <c r="B410" s="27"/>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c r="AA410" s="28"/>
      <c r="AB410" s="28"/>
    </row>
    <row r="411" spans="1:28" ht="15.75" customHeight="1" x14ac:dyDescent="0.2">
      <c r="A411" s="27"/>
      <c r="B411" s="27"/>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c r="AA411" s="28"/>
      <c r="AB411" s="28"/>
    </row>
    <row r="412" spans="1:28" ht="15.75" customHeight="1" x14ac:dyDescent="0.2">
      <c r="A412" s="27"/>
      <c r="B412" s="27"/>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c r="AA412" s="28"/>
      <c r="AB412" s="28"/>
    </row>
    <row r="413" spans="1:28" ht="15.75" customHeight="1" x14ac:dyDescent="0.2">
      <c r="A413" s="27"/>
      <c r="B413" s="27"/>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c r="AA413" s="28"/>
      <c r="AB413" s="28"/>
    </row>
    <row r="414" spans="1:28" ht="15.75" customHeight="1" x14ac:dyDescent="0.2">
      <c r="A414" s="27"/>
      <c r="B414" s="27"/>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c r="AA414" s="28"/>
      <c r="AB414" s="28"/>
    </row>
    <row r="415" spans="1:28" ht="15.75" customHeight="1" x14ac:dyDescent="0.2">
      <c r="A415" s="27"/>
      <c r="B415" s="27"/>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c r="AA415" s="28"/>
      <c r="AB415" s="28"/>
    </row>
    <row r="416" spans="1:28" ht="15.75" customHeight="1" x14ac:dyDescent="0.2">
      <c r="A416" s="27"/>
      <c r="B416" s="27"/>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c r="AA416" s="28"/>
      <c r="AB416" s="28"/>
    </row>
    <row r="417" spans="1:28" ht="15.75" customHeight="1" x14ac:dyDescent="0.2">
      <c r="A417" s="27"/>
      <c r="B417" s="27"/>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c r="AA417" s="28"/>
      <c r="AB417" s="28"/>
    </row>
    <row r="418" spans="1:28" ht="15.75" customHeight="1" x14ac:dyDescent="0.2">
      <c r="A418" s="27"/>
      <c r="B418" s="27"/>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c r="AA418" s="28"/>
      <c r="AB418" s="28"/>
    </row>
    <row r="419" spans="1:28" ht="15.75" customHeight="1" x14ac:dyDescent="0.2">
      <c r="A419" s="27"/>
      <c r="B419" s="27"/>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c r="AA419" s="28"/>
      <c r="AB419" s="28"/>
    </row>
    <row r="420" spans="1:28" ht="15.75" customHeight="1" x14ac:dyDescent="0.2">
      <c r="A420" s="27"/>
      <c r="B420" s="27"/>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c r="AA420" s="28"/>
      <c r="AB420" s="28"/>
    </row>
    <row r="421" spans="1:28" ht="15.75" customHeight="1" x14ac:dyDescent="0.2">
      <c r="A421" s="27"/>
      <c r="B421" s="27"/>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c r="AA421" s="28"/>
      <c r="AB421" s="28"/>
    </row>
    <row r="422" spans="1:28" ht="15.75" customHeight="1" x14ac:dyDescent="0.2">
      <c r="A422" s="27"/>
      <c r="B422" s="27"/>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c r="AA422" s="28"/>
      <c r="AB422" s="28"/>
    </row>
    <row r="423" spans="1:28" ht="15.75" customHeight="1" x14ac:dyDescent="0.2">
      <c r="A423" s="27"/>
      <c r="B423" s="27"/>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c r="AA423" s="28"/>
      <c r="AB423" s="28"/>
    </row>
    <row r="424" spans="1:28" ht="15.75" customHeight="1" x14ac:dyDescent="0.2">
      <c r="A424" s="27"/>
      <c r="B424" s="27"/>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c r="AA424" s="28"/>
      <c r="AB424" s="28"/>
    </row>
    <row r="425" spans="1:28" ht="15.75" customHeight="1" x14ac:dyDescent="0.2">
      <c r="A425" s="27"/>
      <c r="B425" s="27"/>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c r="AA425" s="28"/>
      <c r="AB425" s="28"/>
    </row>
    <row r="426" spans="1:28" ht="15.75" customHeight="1" x14ac:dyDescent="0.2">
      <c r="A426" s="27"/>
      <c r="B426" s="27"/>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c r="AA426" s="28"/>
      <c r="AB426" s="28"/>
    </row>
    <row r="427" spans="1:28" ht="15.75" customHeight="1" x14ac:dyDescent="0.2">
      <c r="A427" s="27"/>
      <c r="B427" s="27"/>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c r="AA427" s="28"/>
      <c r="AB427" s="28"/>
    </row>
    <row r="428" spans="1:28" ht="15.75" customHeight="1" x14ac:dyDescent="0.2">
      <c r="A428" s="27"/>
      <c r="B428" s="27"/>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c r="AA428" s="28"/>
      <c r="AB428" s="28"/>
    </row>
    <row r="429" spans="1:28" ht="15.75" customHeight="1" x14ac:dyDescent="0.2">
      <c r="A429" s="27"/>
      <c r="B429" s="27"/>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c r="AA429" s="28"/>
      <c r="AB429" s="28"/>
    </row>
    <row r="430" spans="1:28" ht="15.75" customHeight="1" x14ac:dyDescent="0.2">
      <c r="A430" s="27"/>
      <c r="B430" s="27"/>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c r="AA430" s="28"/>
      <c r="AB430" s="28"/>
    </row>
    <row r="431" spans="1:28" ht="15.75" customHeight="1" x14ac:dyDescent="0.2">
      <c r="A431" s="27"/>
      <c r="B431" s="27"/>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c r="AA431" s="28"/>
      <c r="AB431" s="28"/>
    </row>
    <row r="432" spans="1:28" ht="15.75" customHeight="1" x14ac:dyDescent="0.2">
      <c r="A432" s="27"/>
      <c r="B432" s="27"/>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c r="AA432" s="28"/>
      <c r="AB432" s="28"/>
    </row>
    <row r="433" spans="1:28" ht="15.75" customHeight="1" x14ac:dyDescent="0.2">
      <c r="A433" s="27"/>
      <c r="B433" s="27"/>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c r="AA433" s="28"/>
      <c r="AB433" s="28"/>
    </row>
    <row r="434" spans="1:28" ht="15.75" customHeight="1" x14ac:dyDescent="0.2">
      <c r="A434" s="27"/>
      <c r="B434" s="27"/>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c r="AA434" s="28"/>
      <c r="AB434" s="28"/>
    </row>
    <row r="435" spans="1:28" ht="15.75" customHeight="1" x14ac:dyDescent="0.2">
      <c r="A435" s="27"/>
      <c r="B435" s="27"/>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c r="AA435" s="28"/>
      <c r="AB435" s="28"/>
    </row>
    <row r="436" spans="1:28" ht="15.75" customHeight="1" x14ac:dyDescent="0.2">
      <c r="A436" s="27"/>
      <c r="B436" s="27"/>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c r="AA436" s="28"/>
      <c r="AB436" s="28"/>
    </row>
    <row r="437" spans="1:28" ht="15.75" customHeight="1" x14ac:dyDescent="0.2">
      <c r="A437" s="27"/>
      <c r="B437" s="27"/>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c r="AA437" s="28"/>
      <c r="AB437" s="28"/>
    </row>
    <row r="438" spans="1:28" ht="15.75" customHeight="1" x14ac:dyDescent="0.2">
      <c r="A438" s="27"/>
      <c r="B438" s="27"/>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c r="AA438" s="28"/>
      <c r="AB438" s="28"/>
    </row>
    <row r="439" spans="1:28" ht="15.75" customHeight="1" x14ac:dyDescent="0.2">
      <c r="A439" s="27"/>
      <c r="B439" s="27"/>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c r="AA439" s="28"/>
      <c r="AB439" s="28"/>
    </row>
    <row r="440" spans="1:28" ht="15.75" customHeight="1" x14ac:dyDescent="0.2">
      <c r="A440" s="27"/>
      <c r="B440" s="27"/>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c r="AA440" s="28"/>
      <c r="AB440" s="28"/>
    </row>
    <row r="441" spans="1:28" ht="15.75" customHeight="1" x14ac:dyDescent="0.2">
      <c r="A441" s="27"/>
      <c r="B441" s="27"/>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c r="AA441" s="28"/>
      <c r="AB441" s="28"/>
    </row>
    <row r="442" spans="1:28" ht="15.75" customHeight="1" x14ac:dyDescent="0.2">
      <c r="A442" s="27"/>
      <c r="B442" s="27"/>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c r="AA442" s="28"/>
      <c r="AB442" s="28"/>
    </row>
    <row r="443" spans="1:28" ht="15.75" customHeight="1" x14ac:dyDescent="0.2">
      <c r="A443" s="27"/>
      <c r="B443" s="27"/>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c r="AA443" s="28"/>
      <c r="AB443" s="28"/>
    </row>
    <row r="444" spans="1:28" ht="15.75" customHeight="1" x14ac:dyDescent="0.2">
      <c r="A444" s="27"/>
      <c r="B444" s="27"/>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c r="AA444" s="28"/>
      <c r="AB444" s="28"/>
    </row>
    <row r="445" spans="1:28" ht="15.75" customHeight="1" x14ac:dyDescent="0.2">
      <c r="A445" s="27"/>
      <c r="B445" s="27"/>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c r="AA445" s="28"/>
      <c r="AB445" s="28"/>
    </row>
    <row r="446" spans="1:28" ht="15.75" customHeight="1" x14ac:dyDescent="0.2">
      <c r="A446" s="27"/>
      <c r="B446" s="27"/>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c r="AA446" s="28"/>
      <c r="AB446" s="28"/>
    </row>
    <row r="447" spans="1:28" ht="15.75" customHeight="1" x14ac:dyDescent="0.2">
      <c r="A447" s="27"/>
      <c r="B447" s="27"/>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c r="AA447" s="28"/>
      <c r="AB447" s="28"/>
    </row>
    <row r="448" spans="1:28" ht="15.75" customHeight="1" x14ac:dyDescent="0.2">
      <c r="A448" s="27"/>
      <c r="B448" s="27"/>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c r="AA448" s="28"/>
      <c r="AB448" s="28"/>
    </row>
    <row r="449" spans="1:28" ht="15.75" customHeight="1" x14ac:dyDescent="0.2">
      <c r="A449" s="27"/>
      <c r="B449" s="27"/>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c r="AA449" s="28"/>
      <c r="AB449" s="28"/>
    </row>
    <row r="450" spans="1:28" ht="15.75" customHeight="1" x14ac:dyDescent="0.2">
      <c r="A450" s="27"/>
      <c r="B450" s="27"/>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c r="AA450" s="28"/>
      <c r="AB450" s="28"/>
    </row>
    <row r="451" spans="1:28" ht="15.75" customHeight="1" x14ac:dyDescent="0.2">
      <c r="A451" s="27"/>
      <c r="B451" s="27"/>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c r="AA451" s="28"/>
      <c r="AB451" s="28"/>
    </row>
    <row r="452" spans="1:28" ht="15.75" customHeight="1" x14ac:dyDescent="0.2">
      <c r="A452" s="27"/>
      <c r="B452" s="27"/>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c r="AA452" s="28"/>
      <c r="AB452" s="28"/>
    </row>
    <row r="453" spans="1:28" ht="15.75" customHeight="1" x14ac:dyDescent="0.2">
      <c r="A453" s="27"/>
      <c r="B453" s="27"/>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c r="AA453" s="28"/>
      <c r="AB453" s="28"/>
    </row>
    <row r="454" spans="1:28" ht="15.75" customHeight="1" x14ac:dyDescent="0.2">
      <c r="A454" s="27"/>
      <c r="B454" s="27"/>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c r="AA454" s="28"/>
      <c r="AB454" s="28"/>
    </row>
    <row r="455" spans="1:28" ht="15.75" customHeight="1" x14ac:dyDescent="0.2">
      <c r="A455" s="27"/>
      <c r="B455" s="27"/>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c r="AA455" s="28"/>
      <c r="AB455" s="28"/>
    </row>
    <row r="456" spans="1:28" ht="15.75" customHeight="1" x14ac:dyDescent="0.2">
      <c r="A456" s="27"/>
      <c r="B456" s="27"/>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c r="AA456" s="28"/>
      <c r="AB456" s="28"/>
    </row>
    <row r="457" spans="1:28" ht="15.75" customHeight="1" x14ac:dyDescent="0.2">
      <c r="A457" s="27"/>
      <c r="B457" s="27"/>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c r="AA457" s="28"/>
      <c r="AB457" s="28"/>
    </row>
    <row r="458" spans="1:28" ht="15.75" customHeight="1" x14ac:dyDescent="0.2">
      <c r="A458" s="27"/>
      <c r="B458" s="27"/>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c r="AA458" s="28"/>
      <c r="AB458" s="28"/>
    </row>
    <row r="459" spans="1:28" ht="15.75" customHeight="1" x14ac:dyDescent="0.2">
      <c r="A459" s="27"/>
      <c r="B459" s="27"/>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c r="AA459" s="28"/>
      <c r="AB459" s="28"/>
    </row>
    <row r="460" spans="1:28" ht="15.75" customHeight="1" x14ac:dyDescent="0.2">
      <c r="A460" s="27"/>
      <c r="B460" s="27"/>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c r="AA460" s="28"/>
      <c r="AB460" s="28"/>
    </row>
    <row r="461" spans="1:28" ht="15.75" customHeight="1" x14ac:dyDescent="0.2">
      <c r="A461" s="27"/>
      <c r="B461" s="27"/>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c r="AA461" s="28"/>
      <c r="AB461" s="28"/>
    </row>
    <row r="462" spans="1:28" ht="15.75" customHeight="1" x14ac:dyDescent="0.2">
      <c r="A462" s="27"/>
      <c r="B462" s="27"/>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c r="AA462" s="28"/>
      <c r="AB462" s="28"/>
    </row>
    <row r="463" spans="1:28" ht="15.75" customHeight="1" x14ac:dyDescent="0.2">
      <c r="A463" s="27"/>
      <c r="B463" s="27"/>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c r="AA463" s="28"/>
      <c r="AB463" s="28"/>
    </row>
    <row r="464" spans="1:28" ht="15.75" customHeight="1" x14ac:dyDescent="0.2">
      <c r="A464" s="27"/>
      <c r="B464" s="27"/>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c r="AA464" s="28"/>
      <c r="AB464" s="28"/>
    </row>
    <row r="465" spans="1:28" ht="15.75" customHeight="1" x14ac:dyDescent="0.2">
      <c r="A465" s="27"/>
      <c r="B465" s="27"/>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c r="AA465" s="28"/>
      <c r="AB465" s="28"/>
    </row>
    <row r="466" spans="1:28" ht="15.75" customHeight="1" x14ac:dyDescent="0.2">
      <c r="A466" s="27"/>
      <c r="B466" s="27"/>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c r="AA466" s="28"/>
      <c r="AB466" s="28"/>
    </row>
    <row r="467" spans="1:28" ht="15.75" customHeight="1" x14ac:dyDescent="0.2">
      <c r="A467" s="27"/>
      <c r="B467" s="27"/>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c r="AA467" s="28"/>
      <c r="AB467" s="28"/>
    </row>
    <row r="468" spans="1:28" ht="15.75" customHeight="1" x14ac:dyDescent="0.2">
      <c r="A468" s="27"/>
      <c r="B468" s="27"/>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c r="AA468" s="28"/>
      <c r="AB468" s="28"/>
    </row>
    <row r="469" spans="1:28" ht="15.75" customHeight="1" x14ac:dyDescent="0.2">
      <c r="A469" s="27"/>
      <c r="B469" s="27"/>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c r="AA469" s="28"/>
      <c r="AB469" s="28"/>
    </row>
    <row r="470" spans="1:28" ht="15.75" customHeight="1" x14ac:dyDescent="0.2">
      <c r="A470" s="27"/>
      <c r="B470" s="27"/>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c r="AA470" s="28"/>
      <c r="AB470" s="28"/>
    </row>
    <row r="471" spans="1:28" ht="15.75" customHeight="1" x14ac:dyDescent="0.2">
      <c r="A471" s="27"/>
      <c r="B471" s="27"/>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c r="AA471" s="28"/>
      <c r="AB471" s="28"/>
    </row>
    <row r="472" spans="1:28" ht="15.75" customHeight="1" x14ac:dyDescent="0.2">
      <c r="A472" s="27"/>
      <c r="B472" s="27"/>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c r="AA472" s="28"/>
      <c r="AB472" s="28"/>
    </row>
    <row r="473" spans="1:28" ht="15.75" customHeight="1" x14ac:dyDescent="0.2">
      <c r="A473" s="27"/>
      <c r="B473" s="27"/>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c r="AA473" s="28"/>
      <c r="AB473" s="28"/>
    </row>
    <row r="474" spans="1:28" ht="15.75" customHeight="1" x14ac:dyDescent="0.2">
      <c r="A474" s="27"/>
      <c r="B474" s="27"/>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c r="AA474" s="28"/>
      <c r="AB474" s="28"/>
    </row>
    <row r="475" spans="1:28" ht="15.75" customHeight="1" x14ac:dyDescent="0.2">
      <c r="A475" s="27"/>
      <c r="B475" s="27"/>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c r="AA475" s="28"/>
      <c r="AB475" s="28"/>
    </row>
    <row r="476" spans="1:28" ht="15.75" customHeight="1" x14ac:dyDescent="0.2">
      <c r="A476" s="27"/>
      <c r="B476" s="27"/>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c r="AA476" s="28"/>
      <c r="AB476" s="28"/>
    </row>
    <row r="477" spans="1:28" ht="15.75" customHeight="1" x14ac:dyDescent="0.2">
      <c r="A477" s="27"/>
      <c r="B477" s="27"/>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c r="AA477" s="28"/>
      <c r="AB477" s="28"/>
    </row>
    <row r="478" spans="1:28" ht="15.75" customHeight="1" x14ac:dyDescent="0.2">
      <c r="A478" s="27"/>
      <c r="B478" s="27"/>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c r="AA478" s="28"/>
      <c r="AB478" s="28"/>
    </row>
    <row r="479" spans="1:28" ht="15.75" customHeight="1" x14ac:dyDescent="0.2">
      <c r="A479" s="27"/>
      <c r="B479" s="27"/>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c r="AA479" s="28"/>
      <c r="AB479" s="28"/>
    </row>
    <row r="480" spans="1:28" ht="15.75" customHeight="1" x14ac:dyDescent="0.2">
      <c r="A480" s="27"/>
      <c r="B480" s="27"/>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c r="AA480" s="28"/>
      <c r="AB480" s="28"/>
    </row>
    <row r="481" spans="1:28" ht="15.75" customHeight="1" x14ac:dyDescent="0.2">
      <c r="A481" s="27"/>
      <c r="B481" s="27"/>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c r="AA481" s="28"/>
      <c r="AB481" s="28"/>
    </row>
    <row r="482" spans="1:28" ht="15.75" customHeight="1" x14ac:dyDescent="0.2">
      <c r="A482" s="27"/>
      <c r="B482" s="27"/>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c r="AA482" s="28"/>
      <c r="AB482" s="28"/>
    </row>
    <row r="483" spans="1:28" ht="15.75" customHeight="1" x14ac:dyDescent="0.2">
      <c r="A483" s="27"/>
      <c r="B483" s="27"/>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c r="AA483" s="28"/>
      <c r="AB483" s="28"/>
    </row>
    <row r="484" spans="1:28" ht="15.75" customHeight="1" x14ac:dyDescent="0.2">
      <c r="A484" s="27"/>
      <c r="B484" s="27"/>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c r="AA484" s="28"/>
      <c r="AB484" s="28"/>
    </row>
    <row r="485" spans="1:28" ht="15.75" customHeight="1" x14ac:dyDescent="0.2">
      <c r="A485" s="27"/>
      <c r="B485" s="27"/>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c r="AA485" s="28"/>
      <c r="AB485" s="28"/>
    </row>
    <row r="486" spans="1:28" ht="15.75" customHeight="1" x14ac:dyDescent="0.2">
      <c r="A486" s="27"/>
      <c r="B486" s="27"/>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c r="AA486" s="28"/>
      <c r="AB486" s="28"/>
    </row>
    <row r="487" spans="1:28" ht="15.75" customHeight="1" x14ac:dyDescent="0.2">
      <c r="A487" s="27"/>
      <c r="B487" s="27"/>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c r="AA487" s="28"/>
      <c r="AB487" s="28"/>
    </row>
    <row r="488" spans="1:28" ht="15.75" customHeight="1" x14ac:dyDescent="0.2">
      <c r="A488" s="27"/>
      <c r="B488" s="27"/>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c r="AA488" s="28"/>
      <c r="AB488" s="28"/>
    </row>
    <row r="489" spans="1:28" ht="15.75" customHeight="1" x14ac:dyDescent="0.2">
      <c r="A489" s="27"/>
      <c r="B489" s="27"/>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c r="AA489" s="28"/>
      <c r="AB489" s="28"/>
    </row>
    <row r="490" spans="1:28" ht="15.75" customHeight="1" x14ac:dyDescent="0.2">
      <c r="A490" s="27"/>
      <c r="B490" s="27"/>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c r="AA490" s="28"/>
      <c r="AB490" s="28"/>
    </row>
    <row r="491" spans="1:28" ht="15.75" customHeight="1" x14ac:dyDescent="0.2">
      <c r="A491" s="27"/>
      <c r="B491" s="27"/>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c r="AA491" s="28"/>
      <c r="AB491" s="28"/>
    </row>
    <row r="492" spans="1:28" ht="15.75" customHeight="1" x14ac:dyDescent="0.2">
      <c r="A492" s="27"/>
      <c r="B492" s="27"/>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c r="AA492" s="28"/>
      <c r="AB492" s="28"/>
    </row>
    <row r="493" spans="1:28" ht="15.75" customHeight="1" x14ac:dyDescent="0.2">
      <c r="A493" s="27"/>
      <c r="B493" s="27"/>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c r="AA493" s="28"/>
      <c r="AB493" s="28"/>
    </row>
    <row r="494" spans="1:28" ht="15.75" customHeight="1" x14ac:dyDescent="0.2">
      <c r="A494" s="27"/>
      <c r="B494" s="27"/>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c r="AA494" s="28"/>
      <c r="AB494" s="28"/>
    </row>
    <row r="495" spans="1:28" ht="15.75" customHeight="1" x14ac:dyDescent="0.2">
      <c r="A495" s="27"/>
      <c r="B495" s="27"/>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c r="AA495" s="28"/>
      <c r="AB495" s="28"/>
    </row>
    <row r="496" spans="1:28" ht="15.75" customHeight="1" x14ac:dyDescent="0.2">
      <c r="A496" s="27"/>
      <c r="B496" s="27"/>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c r="AA496" s="28"/>
      <c r="AB496" s="28"/>
    </row>
    <row r="497" spans="1:28" ht="15.75" customHeight="1" x14ac:dyDescent="0.2">
      <c r="A497" s="27"/>
      <c r="B497" s="27"/>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c r="AA497" s="28"/>
      <c r="AB497" s="28"/>
    </row>
    <row r="498" spans="1:28" ht="15.75" customHeight="1" x14ac:dyDescent="0.2">
      <c r="A498" s="27"/>
      <c r="B498" s="27"/>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c r="AA498" s="28"/>
      <c r="AB498" s="28"/>
    </row>
    <row r="499" spans="1:28" ht="15.75" customHeight="1" x14ac:dyDescent="0.2">
      <c r="A499" s="27"/>
      <c r="B499" s="27"/>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c r="AA499" s="28"/>
      <c r="AB499" s="28"/>
    </row>
    <row r="500" spans="1:28" ht="15.75" customHeight="1" x14ac:dyDescent="0.2">
      <c r="A500" s="27"/>
      <c r="B500" s="27"/>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c r="AA500" s="28"/>
      <c r="AB500" s="28"/>
    </row>
    <row r="501" spans="1:28" ht="15.75" customHeight="1" x14ac:dyDescent="0.2">
      <c r="A501" s="27"/>
      <c r="B501" s="27"/>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c r="AA501" s="28"/>
      <c r="AB501" s="28"/>
    </row>
    <row r="502" spans="1:28" ht="15.75" customHeight="1" x14ac:dyDescent="0.2">
      <c r="A502" s="27"/>
      <c r="B502" s="27"/>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c r="AA502" s="28"/>
      <c r="AB502" s="28"/>
    </row>
    <row r="503" spans="1:28" ht="15.75" customHeight="1" x14ac:dyDescent="0.2">
      <c r="A503" s="27"/>
      <c r="B503" s="27"/>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c r="AA503" s="28"/>
      <c r="AB503" s="28"/>
    </row>
    <row r="504" spans="1:28" ht="15.75" customHeight="1" x14ac:dyDescent="0.2">
      <c r="A504" s="27"/>
      <c r="B504" s="27"/>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c r="AA504" s="28"/>
      <c r="AB504" s="28"/>
    </row>
    <row r="505" spans="1:28" ht="15.75" customHeight="1" x14ac:dyDescent="0.2">
      <c r="A505" s="27"/>
      <c r="B505" s="27"/>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c r="AA505" s="28"/>
      <c r="AB505" s="28"/>
    </row>
    <row r="506" spans="1:28" ht="15.75" customHeight="1" x14ac:dyDescent="0.2">
      <c r="A506" s="27"/>
      <c r="B506" s="27"/>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c r="AA506" s="28"/>
      <c r="AB506" s="28"/>
    </row>
    <row r="507" spans="1:28" ht="15.75" customHeight="1" x14ac:dyDescent="0.2">
      <c r="A507" s="27"/>
      <c r="B507" s="27"/>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c r="AA507" s="28"/>
      <c r="AB507" s="28"/>
    </row>
    <row r="508" spans="1:28" ht="15.75" customHeight="1" x14ac:dyDescent="0.2">
      <c r="A508" s="27"/>
      <c r="B508" s="27"/>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c r="AA508" s="28"/>
      <c r="AB508" s="28"/>
    </row>
    <row r="509" spans="1:28" ht="15.75" customHeight="1" x14ac:dyDescent="0.2">
      <c r="A509" s="27"/>
      <c r="B509" s="27"/>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c r="AA509" s="28"/>
      <c r="AB509" s="28"/>
    </row>
    <row r="510" spans="1:28" ht="15.75" customHeight="1" x14ac:dyDescent="0.2">
      <c r="A510" s="27"/>
      <c r="B510" s="27"/>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c r="AA510" s="28"/>
      <c r="AB510" s="28"/>
    </row>
    <row r="511" spans="1:28" ht="15.75" customHeight="1" x14ac:dyDescent="0.2">
      <c r="A511" s="27"/>
      <c r="B511" s="27"/>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c r="AA511" s="28"/>
      <c r="AB511" s="28"/>
    </row>
    <row r="512" spans="1:28" ht="15.75" customHeight="1" x14ac:dyDescent="0.2">
      <c r="A512" s="27"/>
      <c r="B512" s="27"/>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c r="AA512" s="28"/>
      <c r="AB512" s="28"/>
    </row>
    <row r="513" spans="1:28" ht="15.75" customHeight="1" x14ac:dyDescent="0.2">
      <c r="A513" s="27"/>
      <c r="B513" s="27"/>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c r="AA513" s="28"/>
      <c r="AB513" s="28"/>
    </row>
    <row r="514" spans="1:28" ht="15.75" customHeight="1" x14ac:dyDescent="0.2">
      <c r="A514" s="27"/>
      <c r="B514" s="27"/>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c r="AA514" s="28"/>
      <c r="AB514" s="28"/>
    </row>
    <row r="515" spans="1:28" ht="15.75" customHeight="1" x14ac:dyDescent="0.2">
      <c r="A515" s="27"/>
      <c r="B515" s="27"/>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c r="AA515" s="28"/>
      <c r="AB515" s="28"/>
    </row>
    <row r="516" spans="1:28" ht="15.75" customHeight="1" x14ac:dyDescent="0.2">
      <c r="A516" s="27"/>
      <c r="B516" s="27"/>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c r="AA516" s="28"/>
      <c r="AB516" s="28"/>
    </row>
    <row r="517" spans="1:28" ht="15.75" customHeight="1" x14ac:dyDescent="0.2">
      <c r="A517" s="27"/>
      <c r="B517" s="27"/>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c r="AA517" s="28"/>
      <c r="AB517" s="28"/>
    </row>
    <row r="518" spans="1:28" ht="15.75" customHeight="1" x14ac:dyDescent="0.2">
      <c r="A518" s="27"/>
      <c r="B518" s="27"/>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c r="AA518" s="28"/>
      <c r="AB518" s="28"/>
    </row>
    <row r="519" spans="1:28" ht="15.75" customHeight="1" x14ac:dyDescent="0.2">
      <c r="A519" s="27"/>
      <c r="B519" s="27"/>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c r="AA519" s="28"/>
      <c r="AB519" s="28"/>
    </row>
    <row r="520" spans="1:28" ht="15.75" customHeight="1" x14ac:dyDescent="0.2">
      <c r="A520" s="27"/>
      <c r="B520" s="27"/>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c r="AA520" s="28"/>
      <c r="AB520" s="28"/>
    </row>
    <row r="521" spans="1:28" ht="15.75" customHeight="1" x14ac:dyDescent="0.2">
      <c r="A521" s="27"/>
      <c r="B521" s="27"/>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c r="AA521" s="28"/>
      <c r="AB521" s="28"/>
    </row>
    <row r="522" spans="1:28" ht="15.75" customHeight="1" x14ac:dyDescent="0.2">
      <c r="A522" s="27"/>
      <c r="B522" s="27"/>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c r="AA522" s="28"/>
      <c r="AB522" s="28"/>
    </row>
    <row r="523" spans="1:28" ht="15.75" customHeight="1" x14ac:dyDescent="0.2">
      <c r="A523" s="27"/>
      <c r="B523" s="27"/>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c r="AA523" s="28"/>
      <c r="AB523" s="28"/>
    </row>
    <row r="524" spans="1:28" ht="15.75" customHeight="1" x14ac:dyDescent="0.2">
      <c r="A524" s="27"/>
      <c r="B524" s="27"/>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c r="AA524" s="28"/>
      <c r="AB524" s="28"/>
    </row>
    <row r="525" spans="1:28" ht="15.75" customHeight="1" x14ac:dyDescent="0.2">
      <c r="A525" s="27"/>
      <c r="B525" s="27"/>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c r="AA525" s="28"/>
      <c r="AB525" s="28"/>
    </row>
    <row r="526" spans="1:28" ht="15.75" customHeight="1" x14ac:dyDescent="0.2">
      <c r="A526" s="27"/>
      <c r="B526" s="27"/>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c r="AA526" s="28"/>
      <c r="AB526" s="28"/>
    </row>
    <row r="527" spans="1:28" ht="15.75" customHeight="1" x14ac:dyDescent="0.2">
      <c r="A527" s="27"/>
      <c r="B527" s="27"/>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c r="AA527" s="28"/>
      <c r="AB527" s="28"/>
    </row>
    <row r="528" spans="1:28" ht="15.75" customHeight="1" x14ac:dyDescent="0.2">
      <c r="A528" s="27"/>
      <c r="B528" s="27"/>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c r="AA528" s="28"/>
      <c r="AB528" s="28"/>
    </row>
    <row r="529" spans="1:28" ht="15.75" customHeight="1" x14ac:dyDescent="0.2">
      <c r="A529" s="27"/>
      <c r="B529" s="27"/>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c r="AA529" s="28"/>
      <c r="AB529" s="28"/>
    </row>
    <row r="530" spans="1:28" ht="15.75" customHeight="1" x14ac:dyDescent="0.2">
      <c r="A530" s="27"/>
      <c r="B530" s="27"/>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c r="AA530" s="28"/>
      <c r="AB530" s="28"/>
    </row>
    <row r="531" spans="1:28" ht="15.75" customHeight="1" x14ac:dyDescent="0.2">
      <c r="A531" s="27"/>
      <c r="B531" s="27"/>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c r="AA531" s="28"/>
      <c r="AB531" s="28"/>
    </row>
    <row r="532" spans="1:28" ht="15.75" customHeight="1" x14ac:dyDescent="0.2">
      <c r="A532" s="27"/>
      <c r="B532" s="27"/>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c r="AA532" s="28"/>
      <c r="AB532" s="28"/>
    </row>
    <row r="533" spans="1:28" ht="15.75" customHeight="1" x14ac:dyDescent="0.2">
      <c r="A533" s="27"/>
      <c r="B533" s="27"/>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c r="AA533" s="28"/>
      <c r="AB533" s="28"/>
    </row>
    <row r="534" spans="1:28" ht="15.75" customHeight="1" x14ac:dyDescent="0.2">
      <c r="A534" s="27"/>
      <c r="B534" s="27"/>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c r="AA534" s="28"/>
      <c r="AB534" s="28"/>
    </row>
    <row r="535" spans="1:28" ht="15.75" customHeight="1" x14ac:dyDescent="0.2">
      <c r="A535" s="27"/>
      <c r="B535" s="27"/>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c r="AA535" s="28"/>
      <c r="AB535" s="28"/>
    </row>
    <row r="536" spans="1:28" ht="15.75" customHeight="1" x14ac:dyDescent="0.2">
      <c r="A536" s="27"/>
      <c r="B536" s="27"/>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c r="AA536" s="28"/>
      <c r="AB536" s="28"/>
    </row>
    <row r="537" spans="1:28" ht="15.75" customHeight="1" x14ac:dyDescent="0.2">
      <c r="A537" s="27"/>
      <c r="B537" s="27"/>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c r="AA537" s="28"/>
      <c r="AB537" s="28"/>
    </row>
    <row r="538" spans="1:28" ht="15.75" customHeight="1" x14ac:dyDescent="0.2">
      <c r="A538" s="27"/>
      <c r="B538" s="27"/>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c r="AA538" s="28"/>
      <c r="AB538" s="28"/>
    </row>
    <row r="539" spans="1:28" ht="15.75" customHeight="1" x14ac:dyDescent="0.2">
      <c r="A539" s="27"/>
      <c r="B539" s="27"/>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c r="AA539" s="28"/>
      <c r="AB539" s="28"/>
    </row>
    <row r="540" spans="1:28" ht="15.75" customHeight="1" x14ac:dyDescent="0.2">
      <c r="A540" s="27"/>
      <c r="B540" s="27"/>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c r="AA540" s="28"/>
      <c r="AB540" s="28"/>
    </row>
    <row r="541" spans="1:28" ht="15.75" customHeight="1" x14ac:dyDescent="0.2">
      <c r="A541" s="27"/>
      <c r="B541" s="27"/>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c r="AA541" s="28"/>
      <c r="AB541" s="28"/>
    </row>
    <row r="542" spans="1:28" ht="15.75" customHeight="1" x14ac:dyDescent="0.2">
      <c r="A542" s="27"/>
      <c r="B542" s="27"/>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c r="AA542" s="28"/>
      <c r="AB542" s="28"/>
    </row>
    <row r="543" spans="1:28" ht="15.75" customHeight="1" x14ac:dyDescent="0.2">
      <c r="A543" s="27"/>
      <c r="B543" s="27"/>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c r="AA543" s="28"/>
      <c r="AB543" s="28"/>
    </row>
    <row r="544" spans="1:28" ht="15.75" customHeight="1" x14ac:dyDescent="0.2">
      <c r="A544" s="27"/>
      <c r="B544" s="27"/>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c r="AA544" s="28"/>
      <c r="AB544" s="28"/>
    </row>
    <row r="545" spans="1:28" ht="15.75" customHeight="1" x14ac:dyDescent="0.2">
      <c r="A545" s="27"/>
      <c r="B545" s="27"/>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c r="AA545" s="28"/>
      <c r="AB545" s="28"/>
    </row>
    <row r="546" spans="1:28" ht="15.75" customHeight="1" x14ac:dyDescent="0.2">
      <c r="A546" s="27"/>
      <c r="B546" s="27"/>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c r="AA546" s="28"/>
      <c r="AB546" s="28"/>
    </row>
    <row r="547" spans="1:28" ht="15.75" customHeight="1" x14ac:dyDescent="0.2">
      <c r="A547" s="27"/>
      <c r="B547" s="27"/>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c r="AA547" s="28"/>
      <c r="AB547" s="28"/>
    </row>
    <row r="548" spans="1:28" ht="15.75" customHeight="1" x14ac:dyDescent="0.2">
      <c r="A548" s="27"/>
      <c r="B548" s="27"/>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c r="AA548" s="28"/>
      <c r="AB548" s="28"/>
    </row>
    <row r="549" spans="1:28" ht="15.75" customHeight="1" x14ac:dyDescent="0.2">
      <c r="A549" s="27"/>
      <c r="B549" s="27"/>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c r="AA549" s="28"/>
      <c r="AB549" s="28"/>
    </row>
    <row r="550" spans="1:28" ht="15.75" customHeight="1" x14ac:dyDescent="0.2">
      <c r="A550" s="27"/>
      <c r="B550" s="27"/>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c r="AA550" s="28"/>
      <c r="AB550" s="28"/>
    </row>
    <row r="551" spans="1:28" ht="15.75" customHeight="1" x14ac:dyDescent="0.2">
      <c r="A551" s="27"/>
      <c r="B551" s="27"/>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c r="AA551" s="28"/>
      <c r="AB551" s="28"/>
    </row>
    <row r="552" spans="1:28" ht="15.75" customHeight="1" x14ac:dyDescent="0.2">
      <c r="A552" s="27"/>
      <c r="B552" s="27"/>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c r="AA552" s="28"/>
      <c r="AB552" s="28"/>
    </row>
    <row r="553" spans="1:28" ht="15.75" customHeight="1" x14ac:dyDescent="0.2">
      <c r="A553" s="27"/>
      <c r="B553" s="27"/>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c r="AA553" s="28"/>
      <c r="AB553" s="28"/>
    </row>
    <row r="554" spans="1:28" ht="15.75" customHeight="1" x14ac:dyDescent="0.2">
      <c r="A554" s="27"/>
      <c r="B554" s="27"/>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c r="AA554" s="28"/>
      <c r="AB554" s="28"/>
    </row>
    <row r="555" spans="1:28" ht="15.75" customHeight="1" x14ac:dyDescent="0.2">
      <c r="A555" s="27"/>
      <c r="B555" s="27"/>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c r="AA555" s="28"/>
      <c r="AB555" s="28"/>
    </row>
    <row r="556" spans="1:28" ht="15.75" customHeight="1" x14ac:dyDescent="0.2">
      <c r="A556" s="27"/>
      <c r="B556" s="27"/>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c r="AA556" s="28"/>
      <c r="AB556" s="28"/>
    </row>
    <row r="557" spans="1:28" ht="15.75" customHeight="1" x14ac:dyDescent="0.2">
      <c r="A557" s="27"/>
      <c r="B557" s="27"/>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c r="AA557" s="28"/>
      <c r="AB557" s="28"/>
    </row>
    <row r="558" spans="1:28" ht="15.75" customHeight="1" x14ac:dyDescent="0.2">
      <c r="A558" s="27"/>
      <c r="B558" s="27"/>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c r="AA558" s="28"/>
      <c r="AB558" s="28"/>
    </row>
    <row r="559" spans="1:28" ht="15.75" customHeight="1" x14ac:dyDescent="0.2">
      <c r="A559" s="27"/>
      <c r="B559" s="27"/>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c r="AA559" s="28"/>
      <c r="AB559" s="28"/>
    </row>
    <row r="560" spans="1:28" ht="15.75" customHeight="1" x14ac:dyDescent="0.2">
      <c r="A560" s="27"/>
      <c r="B560" s="27"/>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c r="AA560" s="28"/>
      <c r="AB560" s="28"/>
    </row>
    <row r="561" spans="1:28" ht="15.75" customHeight="1" x14ac:dyDescent="0.2">
      <c r="A561" s="27"/>
      <c r="B561" s="27"/>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c r="AA561" s="28"/>
      <c r="AB561" s="28"/>
    </row>
    <row r="562" spans="1:28" ht="15.75" customHeight="1" x14ac:dyDescent="0.2">
      <c r="A562" s="27"/>
      <c r="B562" s="27"/>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c r="AA562" s="28"/>
      <c r="AB562" s="28"/>
    </row>
    <row r="563" spans="1:28" ht="15.75" customHeight="1" x14ac:dyDescent="0.2">
      <c r="A563" s="27"/>
      <c r="B563" s="27"/>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c r="AA563" s="28"/>
      <c r="AB563" s="28"/>
    </row>
    <row r="564" spans="1:28" ht="15.75" customHeight="1" x14ac:dyDescent="0.2">
      <c r="A564" s="27"/>
      <c r="B564" s="27"/>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c r="AA564" s="28"/>
      <c r="AB564" s="28"/>
    </row>
    <row r="565" spans="1:28" ht="15.75" customHeight="1" x14ac:dyDescent="0.2">
      <c r="A565" s="27"/>
      <c r="B565" s="27"/>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c r="AA565" s="28"/>
      <c r="AB565" s="28"/>
    </row>
    <row r="566" spans="1:28" ht="15.75" customHeight="1" x14ac:dyDescent="0.2">
      <c r="A566" s="27"/>
      <c r="B566" s="27"/>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c r="AA566" s="28"/>
      <c r="AB566" s="28"/>
    </row>
    <row r="567" spans="1:28" ht="15.75" customHeight="1" x14ac:dyDescent="0.2">
      <c r="A567" s="27"/>
      <c r="B567" s="27"/>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c r="AA567" s="28"/>
      <c r="AB567" s="28"/>
    </row>
    <row r="568" spans="1:28" ht="15.75" customHeight="1" x14ac:dyDescent="0.2">
      <c r="A568" s="27"/>
      <c r="B568" s="27"/>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c r="AA568" s="28"/>
      <c r="AB568" s="28"/>
    </row>
    <row r="569" spans="1:28" ht="15.75" customHeight="1" x14ac:dyDescent="0.2">
      <c r="A569" s="27"/>
      <c r="B569" s="27"/>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c r="AA569" s="28"/>
      <c r="AB569" s="28"/>
    </row>
    <row r="570" spans="1:28" ht="15.75" customHeight="1" x14ac:dyDescent="0.2">
      <c r="A570" s="27"/>
      <c r="B570" s="27"/>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c r="AA570" s="28"/>
      <c r="AB570" s="28"/>
    </row>
    <row r="571" spans="1:28" ht="15.75" customHeight="1" x14ac:dyDescent="0.2">
      <c r="A571" s="27"/>
      <c r="B571" s="27"/>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c r="AA571" s="28"/>
      <c r="AB571" s="28"/>
    </row>
    <row r="572" spans="1:28" ht="15.75" customHeight="1" x14ac:dyDescent="0.2">
      <c r="A572" s="27"/>
      <c r="B572" s="27"/>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c r="AA572" s="28"/>
      <c r="AB572" s="28"/>
    </row>
    <row r="573" spans="1:28" ht="15.75" customHeight="1" x14ac:dyDescent="0.2">
      <c r="A573" s="27"/>
      <c r="B573" s="27"/>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c r="AA573" s="28"/>
      <c r="AB573" s="28"/>
    </row>
    <row r="574" spans="1:28" ht="15.75" customHeight="1" x14ac:dyDescent="0.2">
      <c r="A574" s="27"/>
      <c r="B574" s="27"/>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c r="AA574" s="28"/>
      <c r="AB574" s="28"/>
    </row>
    <row r="575" spans="1:28" ht="15.75" customHeight="1" x14ac:dyDescent="0.2">
      <c r="A575" s="27"/>
      <c r="B575" s="27"/>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c r="AA575" s="28"/>
      <c r="AB575" s="28"/>
    </row>
    <row r="576" spans="1:28" ht="15.75" customHeight="1" x14ac:dyDescent="0.2">
      <c r="A576" s="27"/>
      <c r="B576" s="27"/>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c r="AA576" s="28"/>
      <c r="AB576" s="28"/>
    </row>
    <row r="577" spans="1:28" ht="15.75" customHeight="1" x14ac:dyDescent="0.2">
      <c r="A577" s="27"/>
      <c r="B577" s="27"/>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c r="AA577" s="28"/>
      <c r="AB577" s="28"/>
    </row>
    <row r="578" spans="1:28" ht="15.75" customHeight="1" x14ac:dyDescent="0.2">
      <c r="A578" s="27"/>
      <c r="B578" s="27"/>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c r="AA578" s="28"/>
      <c r="AB578" s="28"/>
    </row>
    <row r="579" spans="1:28" ht="15.75" customHeight="1" x14ac:dyDescent="0.2">
      <c r="A579" s="27"/>
      <c r="B579" s="27"/>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c r="AA579" s="28"/>
      <c r="AB579" s="28"/>
    </row>
    <row r="580" spans="1:28" ht="15.75" customHeight="1" x14ac:dyDescent="0.2">
      <c r="A580" s="27"/>
      <c r="B580" s="27"/>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c r="AA580" s="28"/>
      <c r="AB580" s="28"/>
    </row>
    <row r="581" spans="1:28" ht="15.75" customHeight="1" x14ac:dyDescent="0.2">
      <c r="A581" s="27"/>
      <c r="B581" s="27"/>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c r="AA581" s="28"/>
      <c r="AB581" s="28"/>
    </row>
    <row r="582" spans="1:28" ht="15.75" customHeight="1" x14ac:dyDescent="0.2">
      <c r="A582" s="27"/>
      <c r="B582" s="27"/>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c r="AA582" s="28"/>
      <c r="AB582" s="28"/>
    </row>
    <row r="583" spans="1:28" ht="15.75" customHeight="1" x14ac:dyDescent="0.2">
      <c r="A583" s="27"/>
      <c r="B583" s="27"/>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c r="AA583" s="28"/>
      <c r="AB583" s="28"/>
    </row>
    <row r="584" spans="1:28" ht="15.75" customHeight="1" x14ac:dyDescent="0.2">
      <c r="A584" s="27"/>
      <c r="B584" s="27"/>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c r="AA584" s="28"/>
      <c r="AB584" s="28"/>
    </row>
    <row r="585" spans="1:28" ht="15.75" customHeight="1" x14ac:dyDescent="0.2">
      <c r="A585" s="27"/>
      <c r="B585" s="27"/>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c r="AA585" s="28"/>
      <c r="AB585" s="28"/>
    </row>
    <row r="586" spans="1:28" ht="15.75" customHeight="1" x14ac:dyDescent="0.2">
      <c r="A586" s="27"/>
      <c r="B586" s="27"/>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c r="AA586" s="28"/>
      <c r="AB586" s="28"/>
    </row>
    <row r="587" spans="1:28" ht="15.75" customHeight="1" x14ac:dyDescent="0.2">
      <c r="A587" s="27"/>
      <c r="B587" s="27"/>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c r="AA587" s="28"/>
      <c r="AB587" s="28"/>
    </row>
    <row r="588" spans="1:28" ht="15.75" customHeight="1" x14ac:dyDescent="0.2">
      <c r="A588" s="27"/>
      <c r="B588" s="27"/>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c r="AA588" s="28"/>
      <c r="AB588" s="28"/>
    </row>
    <row r="589" spans="1:28" ht="15.75" customHeight="1" x14ac:dyDescent="0.2">
      <c r="A589" s="27"/>
      <c r="B589" s="27"/>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c r="AA589" s="28"/>
      <c r="AB589" s="28"/>
    </row>
    <row r="590" spans="1:28" ht="15.75" customHeight="1" x14ac:dyDescent="0.2">
      <c r="A590" s="27"/>
      <c r="B590" s="27"/>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c r="AA590" s="28"/>
      <c r="AB590" s="28"/>
    </row>
    <row r="591" spans="1:28" ht="15.75" customHeight="1" x14ac:dyDescent="0.2">
      <c r="A591" s="27"/>
      <c r="B591" s="27"/>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c r="AA591" s="28"/>
      <c r="AB591" s="28"/>
    </row>
    <row r="592" spans="1:28" ht="15.75" customHeight="1" x14ac:dyDescent="0.2">
      <c r="A592" s="27"/>
      <c r="B592" s="27"/>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c r="AA592" s="28"/>
      <c r="AB592" s="28"/>
    </row>
    <row r="593" spans="1:28" ht="15.75" customHeight="1" x14ac:dyDescent="0.2">
      <c r="A593" s="27"/>
      <c r="B593" s="27"/>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c r="AA593" s="28"/>
      <c r="AB593" s="28"/>
    </row>
    <row r="594" spans="1:28" ht="15.75" customHeight="1" x14ac:dyDescent="0.2">
      <c r="A594" s="27"/>
      <c r="B594" s="27"/>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c r="AA594" s="28"/>
      <c r="AB594" s="28"/>
    </row>
    <row r="595" spans="1:28" ht="15.75" customHeight="1" x14ac:dyDescent="0.2">
      <c r="A595" s="27"/>
      <c r="B595" s="27"/>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c r="AA595" s="28"/>
      <c r="AB595" s="28"/>
    </row>
    <row r="596" spans="1:28" ht="15.75" customHeight="1" x14ac:dyDescent="0.2">
      <c r="A596" s="27"/>
      <c r="B596" s="27"/>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c r="AA596" s="28"/>
      <c r="AB596" s="28"/>
    </row>
    <row r="597" spans="1:28" ht="15.75" customHeight="1" x14ac:dyDescent="0.2">
      <c r="A597" s="27"/>
      <c r="B597" s="27"/>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c r="AA597" s="28"/>
      <c r="AB597" s="28"/>
    </row>
    <row r="598" spans="1:28" ht="15.75" customHeight="1" x14ac:dyDescent="0.2">
      <c r="A598" s="27"/>
      <c r="B598" s="27"/>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c r="AA598" s="28"/>
      <c r="AB598" s="28"/>
    </row>
    <row r="599" spans="1:28" ht="15.75" customHeight="1" x14ac:dyDescent="0.2">
      <c r="A599" s="27"/>
      <c r="B599" s="27"/>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c r="AA599" s="28"/>
      <c r="AB599" s="28"/>
    </row>
    <row r="600" spans="1:28" ht="15.75" customHeight="1" x14ac:dyDescent="0.2">
      <c r="A600" s="27"/>
      <c r="B600" s="27"/>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c r="AA600" s="28"/>
      <c r="AB600" s="28"/>
    </row>
    <row r="601" spans="1:28" ht="15.75" customHeight="1" x14ac:dyDescent="0.2">
      <c r="A601" s="27"/>
      <c r="B601" s="27"/>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c r="AA601" s="28"/>
      <c r="AB601" s="28"/>
    </row>
    <row r="602" spans="1:28" ht="15.75" customHeight="1" x14ac:dyDescent="0.2">
      <c r="A602" s="27"/>
      <c r="B602" s="27"/>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c r="AA602" s="28"/>
      <c r="AB602" s="28"/>
    </row>
    <row r="603" spans="1:28" ht="15.75" customHeight="1" x14ac:dyDescent="0.2">
      <c r="A603" s="27"/>
      <c r="B603" s="27"/>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c r="AA603" s="28"/>
      <c r="AB603" s="28"/>
    </row>
    <row r="604" spans="1:28" ht="15.75" customHeight="1" x14ac:dyDescent="0.2">
      <c r="A604" s="27"/>
      <c r="B604" s="27"/>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c r="AA604" s="28"/>
      <c r="AB604" s="28"/>
    </row>
    <row r="605" spans="1:28" ht="15.75" customHeight="1" x14ac:dyDescent="0.2">
      <c r="A605" s="27"/>
      <c r="B605" s="27"/>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c r="AA605" s="28"/>
      <c r="AB605" s="28"/>
    </row>
    <row r="606" spans="1:28" ht="15.75" customHeight="1" x14ac:dyDescent="0.2">
      <c r="A606" s="27"/>
      <c r="B606" s="27"/>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c r="AA606" s="28"/>
      <c r="AB606" s="28"/>
    </row>
    <row r="607" spans="1:28" ht="15.75" customHeight="1" x14ac:dyDescent="0.2">
      <c r="A607" s="27"/>
      <c r="B607" s="27"/>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c r="AA607" s="28"/>
      <c r="AB607" s="28"/>
    </row>
    <row r="608" spans="1:28" ht="15.75" customHeight="1" x14ac:dyDescent="0.2">
      <c r="A608" s="27"/>
      <c r="B608" s="27"/>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c r="AA608" s="28"/>
      <c r="AB608" s="28"/>
    </row>
    <row r="609" spans="1:28" ht="15.75" customHeight="1" x14ac:dyDescent="0.2">
      <c r="A609" s="27"/>
      <c r="B609" s="27"/>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c r="AA609" s="28"/>
      <c r="AB609" s="28"/>
    </row>
    <row r="610" spans="1:28" ht="15.75" customHeight="1" x14ac:dyDescent="0.2">
      <c r="A610" s="27"/>
      <c r="B610" s="27"/>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c r="AA610" s="28"/>
      <c r="AB610" s="28"/>
    </row>
    <row r="611" spans="1:28" ht="15.75" customHeight="1" x14ac:dyDescent="0.2">
      <c r="A611" s="27"/>
      <c r="B611" s="27"/>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c r="AA611" s="28"/>
      <c r="AB611" s="28"/>
    </row>
    <row r="612" spans="1:28" ht="15.75" customHeight="1" x14ac:dyDescent="0.2">
      <c r="A612" s="27"/>
      <c r="B612" s="27"/>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c r="AA612" s="28"/>
      <c r="AB612" s="28"/>
    </row>
    <row r="613" spans="1:28" ht="15.75" customHeight="1" x14ac:dyDescent="0.2">
      <c r="A613" s="27"/>
      <c r="B613" s="27"/>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c r="AA613" s="28"/>
      <c r="AB613" s="28"/>
    </row>
    <row r="614" spans="1:28" ht="15.75" customHeight="1" x14ac:dyDescent="0.2">
      <c r="A614" s="27"/>
      <c r="B614" s="27"/>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c r="AA614" s="28"/>
      <c r="AB614" s="28"/>
    </row>
    <row r="615" spans="1:28" ht="15.75" customHeight="1" x14ac:dyDescent="0.2">
      <c r="A615" s="27"/>
      <c r="B615" s="27"/>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c r="AA615" s="28"/>
      <c r="AB615" s="28"/>
    </row>
    <row r="616" spans="1:28" ht="15.75" customHeight="1" x14ac:dyDescent="0.2">
      <c r="A616" s="27"/>
      <c r="B616" s="27"/>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c r="AA616" s="28"/>
      <c r="AB616" s="28"/>
    </row>
    <row r="617" spans="1:28" ht="15.75" customHeight="1" x14ac:dyDescent="0.2">
      <c r="A617" s="27"/>
      <c r="B617" s="27"/>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c r="AA617" s="28"/>
      <c r="AB617" s="28"/>
    </row>
    <row r="618" spans="1:28" ht="15.75" customHeight="1" x14ac:dyDescent="0.2">
      <c r="A618" s="27"/>
      <c r="B618" s="27"/>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c r="AA618" s="28"/>
      <c r="AB618" s="28"/>
    </row>
    <row r="619" spans="1:28" ht="15.75" customHeight="1" x14ac:dyDescent="0.2">
      <c r="A619" s="27"/>
      <c r="B619" s="27"/>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c r="AA619" s="28"/>
      <c r="AB619" s="28"/>
    </row>
    <row r="620" spans="1:28" ht="15.75" customHeight="1" x14ac:dyDescent="0.2">
      <c r="A620" s="27"/>
      <c r="B620" s="27"/>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c r="AA620" s="28"/>
      <c r="AB620" s="28"/>
    </row>
    <row r="621" spans="1:28" ht="15.75" customHeight="1" x14ac:dyDescent="0.2">
      <c r="A621" s="27"/>
      <c r="B621" s="27"/>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c r="AA621" s="28"/>
      <c r="AB621" s="28"/>
    </row>
    <row r="622" spans="1:28" ht="15.75" customHeight="1" x14ac:dyDescent="0.2">
      <c r="A622" s="27"/>
      <c r="B622" s="27"/>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c r="AA622" s="28"/>
      <c r="AB622" s="28"/>
    </row>
    <row r="623" spans="1:28" ht="15.75" customHeight="1" x14ac:dyDescent="0.2">
      <c r="A623" s="27"/>
      <c r="B623" s="27"/>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c r="AA623" s="28"/>
      <c r="AB623" s="28"/>
    </row>
    <row r="624" spans="1:28" ht="15.75" customHeight="1" x14ac:dyDescent="0.2">
      <c r="A624" s="27"/>
      <c r="B624" s="27"/>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c r="AA624" s="28"/>
      <c r="AB624" s="28"/>
    </row>
    <row r="625" spans="1:28" ht="15.75" customHeight="1" x14ac:dyDescent="0.2">
      <c r="A625" s="27"/>
      <c r="B625" s="27"/>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c r="AA625" s="28"/>
      <c r="AB625" s="28"/>
    </row>
    <row r="626" spans="1:28" ht="15.75" customHeight="1" x14ac:dyDescent="0.2">
      <c r="A626" s="27"/>
      <c r="B626" s="27"/>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c r="AA626" s="28"/>
      <c r="AB626" s="28"/>
    </row>
    <row r="627" spans="1:28" ht="15.75" customHeight="1" x14ac:dyDescent="0.2">
      <c r="A627" s="27"/>
      <c r="B627" s="27"/>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c r="AA627" s="28"/>
      <c r="AB627" s="28"/>
    </row>
    <row r="628" spans="1:28" ht="15.75" customHeight="1" x14ac:dyDescent="0.2">
      <c r="A628" s="27"/>
      <c r="B628" s="27"/>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c r="AA628" s="28"/>
      <c r="AB628" s="28"/>
    </row>
    <row r="629" spans="1:28" ht="15.75" customHeight="1" x14ac:dyDescent="0.2">
      <c r="A629" s="27"/>
      <c r="B629" s="27"/>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c r="AA629" s="28"/>
      <c r="AB629" s="28"/>
    </row>
    <row r="630" spans="1:28" ht="15.75" customHeight="1" x14ac:dyDescent="0.2">
      <c r="A630" s="27"/>
      <c r="B630" s="27"/>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c r="AA630" s="28"/>
      <c r="AB630" s="28"/>
    </row>
    <row r="631" spans="1:28" ht="15.75" customHeight="1" x14ac:dyDescent="0.2">
      <c r="A631" s="27"/>
      <c r="B631" s="27"/>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c r="AA631" s="28"/>
      <c r="AB631" s="28"/>
    </row>
    <row r="632" spans="1:28" ht="15.75" customHeight="1" x14ac:dyDescent="0.2">
      <c r="A632" s="27"/>
      <c r="B632" s="27"/>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c r="AA632" s="28"/>
      <c r="AB632" s="28"/>
    </row>
    <row r="633" spans="1:28" ht="15.75" customHeight="1" x14ac:dyDescent="0.2">
      <c r="A633" s="27"/>
      <c r="B633" s="27"/>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c r="AA633" s="28"/>
      <c r="AB633" s="28"/>
    </row>
    <row r="634" spans="1:28" ht="15.75" customHeight="1" x14ac:dyDescent="0.2">
      <c r="A634" s="27"/>
      <c r="B634" s="27"/>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c r="AA634" s="28"/>
      <c r="AB634" s="28"/>
    </row>
    <row r="635" spans="1:28" ht="15.75" customHeight="1" x14ac:dyDescent="0.2">
      <c r="A635" s="27"/>
      <c r="B635" s="27"/>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c r="AA635" s="28"/>
      <c r="AB635" s="28"/>
    </row>
    <row r="636" spans="1:28" ht="15.75" customHeight="1" x14ac:dyDescent="0.2">
      <c r="A636" s="27"/>
      <c r="B636" s="27"/>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c r="AA636" s="28"/>
      <c r="AB636" s="28"/>
    </row>
    <row r="637" spans="1:28" ht="15.75" customHeight="1" x14ac:dyDescent="0.2">
      <c r="A637" s="27"/>
      <c r="B637" s="27"/>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c r="AA637" s="28"/>
      <c r="AB637" s="28"/>
    </row>
    <row r="638" spans="1:28" ht="15.75" customHeight="1" x14ac:dyDescent="0.2">
      <c r="A638" s="27"/>
      <c r="B638" s="27"/>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c r="AA638" s="28"/>
      <c r="AB638" s="28"/>
    </row>
    <row r="639" spans="1:28" ht="15.75" customHeight="1" x14ac:dyDescent="0.2">
      <c r="A639" s="27"/>
      <c r="B639" s="27"/>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c r="AA639" s="28"/>
      <c r="AB639" s="28"/>
    </row>
    <row r="640" spans="1:28" ht="15.75" customHeight="1" x14ac:dyDescent="0.2">
      <c r="A640" s="27"/>
      <c r="B640" s="27"/>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c r="AA640" s="28"/>
      <c r="AB640" s="28"/>
    </row>
    <row r="641" spans="1:28" ht="15.75" customHeight="1" x14ac:dyDescent="0.2">
      <c r="A641" s="27"/>
      <c r="B641" s="27"/>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c r="AA641" s="28"/>
      <c r="AB641" s="28"/>
    </row>
    <row r="642" spans="1:28" ht="15.75" customHeight="1" x14ac:dyDescent="0.2">
      <c r="A642" s="27"/>
      <c r="B642" s="27"/>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c r="AA642" s="28"/>
      <c r="AB642" s="28"/>
    </row>
    <row r="643" spans="1:28" ht="15.75" customHeight="1" x14ac:dyDescent="0.2">
      <c r="A643" s="27"/>
      <c r="B643" s="27"/>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c r="AA643" s="28"/>
      <c r="AB643" s="28"/>
    </row>
    <row r="644" spans="1:28" ht="15.75" customHeight="1" x14ac:dyDescent="0.2">
      <c r="A644" s="27"/>
      <c r="B644" s="27"/>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c r="AA644" s="28"/>
      <c r="AB644" s="28"/>
    </row>
    <row r="645" spans="1:28" ht="15.75" customHeight="1" x14ac:dyDescent="0.2">
      <c r="A645" s="27"/>
      <c r="B645" s="27"/>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c r="AA645" s="28"/>
      <c r="AB645" s="28"/>
    </row>
    <row r="646" spans="1:28" ht="15.75" customHeight="1" x14ac:dyDescent="0.2">
      <c r="A646" s="27"/>
      <c r="B646" s="27"/>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c r="AA646" s="28"/>
      <c r="AB646" s="28"/>
    </row>
    <row r="647" spans="1:28" ht="15.75" customHeight="1" x14ac:dyDescent="0.2">
      <c r="A647" s="27"/>
      <c r="B647" s="27"/>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c r="AA647" s="28"/>
      <c r="AB647" s="28"/>
    </row>
    <row r="648" spans="1:28" ht="15.75" customHeight="1" x14ac:dyDescent="0.2">
      <c r="A648" s="27"/>
      <c r="B648" s="27"/>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c r="AA648" s="28"/>
      <c r="AB648" s="28"/>
    </row>
    <row r="649" spans="1:28" ht="15.75" customHeight="1" x14ac:dyDescent="0.2">
      <c r="A649" s="27"/>
      <c r="B649" s="27"/>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c r="AA649" s="28"/>
      <c r="AB649" s="28"/>
    </row>
    <row r="650" spans="1:28" ht="15.75" customHeight="1" x14ac:dyDescent="0.2">
      <c r="A650" s="27"/>
      <c r="B650" s="27"/>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c r="AA650" s="28"/>
      <c r="AB650" s="28"/>
    </row>
    <row r="651" spans="1:28" ht="15.75" customHeight="1" x14ac:dyDescent="0.2">
      <c r="A651" s="27"/>
      <c r="B651" s="27"/>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c r="AA651" s="28"/>
      <c r="AB651" s="28"/>
    </row>
    <row r="652" spans="1:28" ht="15.75" customHeight="1" x14ac:dyDescent="0.2">
      <c r="A652" s="27"/>
      <c r="B652" s="27"/>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c r="AA652" s="28"/>
      <c r="AB652" s="28"/>
    </row>
    <row r="653" spans="1:28" ht="15.75" customHeight="1" x14ac:dyDescent="0.2">
      <c r="A653" s="27"/>
      <c r="B653" s="27"/>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c r="AA653" s="28"/>
      <c r="AB653" s="28"/>
    </row>
    <row r="654" spans="1:28" ht="15.75" customHeight="1" x14ac:dyDescent="0.2">
      <c r="A654" s="27"/>
      <c r="B654" s="27"/>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c r="AA654" s="28"/>
      <c r="AB654" s="28"/>
    </row>
    <row r="655" spans="1:28" ht="15.75" customHeight="1" x14ac:dyDescent="0.2">
      <c r="A655" s="27"/>
      <c r="B655" s="27"/>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c r="AA655" s="28"/>
      <c r="AB655" s="28"/>
    </row>
    <row r="656" spans="1:28" ht="15.75" customHeight="1" x14ac:dyDescent="0.2">
      <c r="A656" s="27"/>
      <c r="B656" s="27"/>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c r="AA656" s="28"/>
      <c r="AB656" s="28"/>
    </row>
    <row r="657" spans="1:28" ht="15.75" customHeight="1" x14ac:dyDescent="0.2">
      <c r="A657" s="27"/>
      <c r="B657" s="27"/>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c r="AA657" s="28"/>
      <c r="AB657" s="28"/>
    </row>
    <row r="658" spans="1:28" ht="15.75" customHeight="1" x14ac:dyDescent="0.2">
      <c r="A658" s="27"/>
      <c r="B658" s="27"/>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c r="AA658" s="28"/>
      <c r="AB658" s="28"/>
    </row>
    <row r="659" spans="1:28" ht="15.75" customHeight="1" x14ac:dyDescent="0.2">
      <c r="A659" s="27"/>
      <c r="B659" s="27"/>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c r="AA659" s="28"/>
      <c r="AB659" s="28"/>
    </row>
    <row r="660" spans="1:28" ht="15.75" customHeight="1" x14ac:dyDescent="0.2">
      <c r="A660" s="27"/>
      <c r="B660" s="27"/>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c r="AA660" s="28"/>
      <c r="AB660" s="28"/>
    </row>
    <row r="661" spans="1:28" ht="15.75" customHeight="1" x14ac:dyDescent="0.2">
      <c r="A661" s="27"/>
      <c r="B661" s="27"/>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c r="AA661" s="28"/>
      <c r="AB661" s="28"/>
    </row>
    <row r="662" spans="1:28" ht="15.75" customHeight="1" x14ac:dyDescent="0.2">
      <c r="A662" s="27"/>
      <c r="B662" s="27"/>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c r="AA662" s="28"/>
      <c r="AB662" s="28"/>
    </row>
    <row r="663" spans="1:28" ht="15.75" customHeight="1" x14ac:dyDescent="0.2">
      <c r="A663" s="27"/>
      <c r="B663" s="27"/>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c r="AA663" s="28"/>
      <c r="AB663" s="28"/>
    </row>
    <row r="664" spans="1:28" ht="15.75" customHeight="1" x14ac:dyDescent="0.2">
      <c r="A664" s="27"/>
      <c r="B664" s="27"/>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c r="AA664" s="28"/>
      <c r="AB664" s="28"/>
    </row>
    <row r="665" spans="1:28" ht="15.75" customHeight="1" x14ac:dyDescent="0.2">
      <c r="A665" s="27"/>
      <c r="B665" s="27"/>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c r="AA665" s="28"/>
      <c r="AB665" s="28"/>
    </row>
    <row r="666" spans="1:28" ht="15.75" customHeight="1" x14ac:dyDescent="0.2">
      <c r="A666" s="27"/>
      <c r="B666" s="27"/>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c r="AA666" s="28"/>
      <c r="AB666" s="28"/>
    </row>
    <row r="667" spans="1:28" ht="15.75" customHeight="1" x14ac:dyDescent="0.2">
      <c r="A667" s="27"/>
      <c r="B667" s="27"/>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c r="AA667" s="28"/>
      <c r="AB667" s="28"/>
    </row>
    <row r="668" spans="1:28" ht="15.75" customHeight="1" x14ac:dyDescent="0.2">
      <c r="A668" s="27"/>
      <c r="B668" s="27"/>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c r="AA668" s="28"/>
      <c r="AB668" s="28"/>
    </row>
    <row r="669" spans="1:28" ht="15.75" customHeight="1" x14ac:dyDescent="0.2">
      <c r="A669" s="27"/>
      <c r="B669" s="27"/>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c r="AA669" s="28"/>
      <c r="AB669" s="28"/>
    </row>
    <row r="670" spans="1:28" ht="15.75" customHeight="1" x14ac:dyDescent="0.2">
      <c r="A670" s="27"/>
      <c r="B670" s="27"/>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c r="AA670" s="28"/>
      <c r="AB670" s="28"/>
    </row>
    <row r="671" spans="1:28" ht="15.75" customHeight="1" x14ac:dyDescent="0.2">
      <c r="A671" s="27"/>
      <c r="B671" s="27"/>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c r="AA671" s="28"/>
      <c r="AB671" s="28"/>
    </row>
    <row r="672" spans="1:28" ht="15.75" customHeight="1" x14ac:dyDescent="0.2">
      <c r="A672" s="27"/>
      <c r="B672" s="27"/>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c r="AA672" s="28"/>
      <c r="AB672" s="28"/>
    </row>
    <row r="673" spans="1:28" ht="15.75" customHeight="1" x14ac:dyDescent="0.2">
      <c r="A673" s="27"/>
      <c r="B673" s="27"/>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c r="AA673" s="28"/>
      <c r="AB673" s="28"/>
    </row>
    <row r="674" spans="1:28" ht="15.75" customHeight="1" x14ac:dyDescent="0.2">
      <c r="A674" s="27"/>
      <c r="B674" s="27"/>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c r="AA674" s="28"/>
      <c r="AB674" s="28"/>
    </row>
    <row r="675" spans="1:28" ht="15.75" customHeight="1" x14ac:dyDescent="0.2">
      <c r="A675" s="27"/>
      <c r="B675" s="27"/>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c r="AA675" s="28"/>
      <c r="AB675" s="28"/>
    </row>
    <row r="676" spans="1:28" ht="15.75" customHeight="1" x14ac:dyDescent="0.2">
      <c r="A676" s="27"/>
      <c r="B676" s="27"/>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c r="AA676" s="28"/>
      <c r="AB676" s="28"/>
    </row>
    <row r="677" spans="1:28" ht="15.75" customHeight="1" x14ac:dyDescent="0.2">
      <c r="A677" s="27"/>
      <c r="B677" s="27"/>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c r="AA677" s="28"/>
      <c r="AB677" s="28"/>
    </row>
    <row r="678" spans="1:28" ht="15.75" customHeight="1" x14ac:dyDescent="0.2">
      <c r="A678" s="27"/>
      <c r="B678" s="27"/>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c r="AA678" s="28"/>
      <c r="AB678" s="28"/>
    </row>
    <row r="679" spans="1:28" ht="15.75" customHeight="1" x14ac:dyDescent="0.2">
      <c r="A679" s="27"/>
      <c r="B679" s="27"/>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c r="AA679" s="28"/>
      <c r="AB679" s="28"/>
    </row>
    <row r="680" spans="1:28" ht="15.75" customHeight="1" x14ac:dyDescent="0.2">
      <c r="A680" s="27"/>
      <c r="B680" s="27"/>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c r="AA680" s="28"/>
      <c r="AB680" s="28"/>
    </row>
    <row r="681" spans="1:28" ht="15.75" customHeight="1" x14ac:dyDescent="0.2">
      <c r="A681" s="27"/>
      <c r="B681" s="27"/>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c r="AA681" s="28"/>
      <c r="AB681" s="28"/>
    </row>
    <row r="682" spans="1:28" ht="15.75" customHeight="1" x14ac:dyDescent="0.2">
      <c r="A682" s="27"/>
      <c r="B682" s="27"/>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c r="AA682" s="28"/>
      <c r="AB682" s="28"/>
    </row>
    <row r="683" spans="1:28" ht="15.75" customHeight="1" x14ac:dyDescent="0.2">
      <c r="A683" s="27"/>
      <c r="B683" s="27"/>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c r="AA683" s="28"/>
      <c r="AB683" s="28"/>
    </row>
    <row r="684" spans="1:28" ht="15.75" customHeight="1" x14ac:dyDescent="0.2">
      <c r="A684" s="27"/>
      <c r="B684" s="27"/>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c r="AA684" s="28"/>
      <c r="AB684" s="28"/>
    </row>
    <row r="685" spans="1:28" ht="15.75" customHeight="1" x14ac:dyDescent="0.2">
      <c r="A685" s="27"/>
      <c r="B685" s="27"/>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c r="AA685" s="28"/>
      <c r="AB685" s="28"/>
    </row>
    <row r="686" spans="1:28" ht="15.75" customHeight="1" x14ac:dyDescent="0.2">
      <c r="A686" s="27"/>
      <c r="B686" s="27"/>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c r="AA686" s="28"/>
      <c r="AB686" s="28"/>
    </row>
    <row r="687" spans="1:28" ht="15.75" customHeight="1" x14ac:dyDescent="0.2">
      <c r="A687" s="27"/>
      <c r="B687" s="27"/>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c r="AA687" s="28"/>
      <c r="AB687" s="28"/>
    </row>
    <row r="688" spans="1:28" ht="15.75" customHeight="1" x14ac:dyDescent="0.2">
      <c r="A688" s="27"/>
      <c r="B688" s="27"/>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c r="AA688" s="28"/>
      <c r="AB688" s="28"/>
    </row>
    <row r="689" spans="1:28" ht="15.75" customHeight="1" x14ac:dyDescent="0.2">
      <c r="A689" s="27"/>
      <c r="B689" s="27"/>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c r="AA689" s="28"/>
      <c r="AB689" s="28"/>
    </row>
    <row r="690" spans="1:28" ht="15.75" customHeight="1" x14ac:dyDescent="0.2">
      <c r="A690" s="27"/>
      <c r="B690" s="27"/>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c r="AA690" s="28"/>
      <c r="AB690" s="28"/>
    </row>
    <row r="691" spans="1:28" ht="15.75" customHeight="1" x14ac:dyDescent="0.2">
      <c r="A691" s="27"/>
      <c r="B691" s="27"/>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c r="AA691" s="28"/>
      <c r="AB691" s="28"/>
    </row>
    <row r="692" spans="1:28" ht="15.75" customHeight="1" x14ac:dyDescent="0.2">
      <c r="A692" s="27"/>
      <c r="B692" s="27"/>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c r="AA692" s="28"/>
      <c r="AB692" s="28"/>
    </row>
    <row r="693" spans="1:28" ht="15.75" customHeight="1" x14ac:dyDescent="0.2">
      <c r="A693" s="27"/>
      <c r="B693" s="27"/>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c r="AA693" s="28"/>
      <c r="AB693" s="28"/>
    </row>
    <row r="694" spans="1:28" ht="15.75" customHeight="1" x14ac:dyDescent="0.2">
      <c r="A694" s="27"/>
      <c r="B694" s="27"/>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c r="AA694" s="28"/>
      <c r="AB694" s="28"/>
    </row>
    <row r="695" spans="1:28" ht="15.75" customHeight="1" x14ac:dyDescent="0.2">
      <c r="A695" s="27"/>
      <c r="B695" s="27"/>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c r="AA695" s="28"/>
      <c r="AB695" s="28"/>
    </row>
    <row r="696" spans="1:28" ht="15.75" customHeight="1" x14ac:dyDescent="0.2">
      <c r="A696" s="27"/>
      <c r="B696" s="27"/>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c r="AA696" s="28"/>
      <c r="AB696" s="28"/>
    </row>
    <row r="697" spans="1:28" ht="15.75" customHeight="1" x14ac:dyDescent="0.2">
      <c r="A697" s="27"/>
      <c r="B697" s="27"/>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c r="AA697" s="28"/>
      <c r="AB697" s="28"/>
    </row>
    <row r="698" spans="1:28" ht="15.75" customHeight="1" x14ac:dyDescent="0.2">
      <c r="A698" s="27"/>
      <c r="B698" s="27"/>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c r="AA698" s="28"/>
      <c r="AB698" s="28"/>
    </row>
    <row r="699" spans="1:28" ht="15.75" customHeight="1" x14ac:dyDescent="0.2">
      <c r="A699" s="27"/>
      <c r="B699" s="27"/>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c r="AA699" s="28"/>
      <c r="AB699" s="28"/>
    </row>
    <row r="700" spans="1:28" ht="15.75" customHeight="1" x14ac:dyDescent="0.2">
      <c r="A700" s="27"/>
      <c r="B700" s="27"/>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c r="AA700" s="28"/>
      <c r="AB700" s="28"/>
    </row>
    <row r="701" spans="1:28" ht="15.75" customHeight="1" x14ac:dyDescent="0.2">
      <c r="A701" s="27"/>
      <c r="B701" s="27"/>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c r="AA701" s="28"/>
      <c r="AB701" s="28"/>
    </row>
    <row r="702" spans="1:28" ht="15.75" customHeight="1" x14ac:dyDescent="0.2">
      <c r="A702" s="27"/>
      <c r="B702" s="27"/>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c r="AA702" s="28"/>
      <c r="AB702" s="28"/>
    </row>
    <row r="703" spans="1:28" ht="15.75" customHeight="1" x14ac:dyDescent="0.2">
      <c r="A703" s="27"/>
      <c r="B703" s="27"/>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c r="AA703" s="28"/>
      <c r="AB703" s="28"/>
    </row>
    <row r="704" spans="1:28" ht="15.75" customHeight="1" x14ac:dyDescent="0.2">
      <c r="A704" s="27"/>
      <c r="B704" s="27"/>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c r="AA704" s="28"/>
      <c r="AB704" s="28"/>
    </row>
    <row r="705" spans="1:28" ht="15.75" customHeight="1" x14ac:dyDescent="0.2">
      <c r="A705" s="27"/>
      <c r="B705" s="27"/>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c r="AA705" s="28"/>
      <c r="AB705" s="28"/>
    </row>
    <row r="706" spans="1:28" ht="15.75" customHeight="1" x14ac:dyDescent="0.2">
      <c r="A706" s="27"/>
      <c r="B706" s="27"/>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c r="AA706" s="28"/>
      <c r="AB706" s="28"/>
    </row>
    <row r="707" spans="1:28" ht="15.75" customHeight="1" x14ac:dyDescent="0.2">
      <c r="A707" s="27"/>
      <c r="B707" s="27"/>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c r="AA707" s="28"/>
      <c r="AB707" s="28"/>
    </row>
    <row r="708" spans="1:28" ht="15.75" customHeight="1" x14ac:dyDescent="0.2">
      <c r="A708" s="27"/>
      <c r="B708" s="27"/>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c r="AA708" s="28"/>
      <c r="AB708" s="28"/>
    </row>
    <row r="709" spans="1:28" ht="15.75" customHeight="1" x14ac:dyDescent="0.2">
      <c r="A709" s="27"/>
      <c r="B709" s="27"/>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c r="AA709" s="28"/>
      <c r="AB709" s="28"/>
    </row>
    <row r="710" spans="1:28" ht="15.75" customHeight="1" x14ac:dyDescent="0.2">
      <c r="A710" s="27"/>
      <c r="B710" s="27"/>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c r="AA710" s="28"/>
      <c r="AB710" s="28"/>
    </row>
    <row r="711" spans="1:28" ht="15.75" customHeight="1" x14ac:dyDescent="0.2">
      <c r="A711" s="27"/>
      <c r="B711" s="27"/>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c r="AA711" s="28"/>
      <c r="AB711" s="28"/>
    </row>
    <row r="712" spans="1:28" ht="15.75" customHeight="1" x14ac:dyDescent="0.2">
      <c r="A712" s="27"/>
      <c r="B712" s="27"/>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c r="AA712" s="28"/>
      <c r="AB712" s="28"/>
    </row>
    <row r="713" spans="1:28" ht="15.75" customHeight="1" x14ac:dyDescent="0.2">
      <c r="A713" s="27"/>
      <c r="B713" s="27"/>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c r="AA713" s="28"/>
      <c r="AB713" s="28"/>
    </row>
    <row r="714" spans="1:28" ht="15.75" customHeight="1" x14ac:dyDescent="0.2">
      <c r="A714" s="27"/>
      <c r="B714" s="27"/>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c r="AA714" s="28"/>
      <c r="AB714" s="28"/>
    </row>
    <row r="715" spans="1:28" ht="15.75" customHeight="1" x14ac:dyDescent="0.2">
      <c r="A715" s="27"/>
      <c r="B715" s="27"/>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c r="AA715" s="28"/>
      <c r="AB715" s="28"/>
    </row>
    <row r="716" spans="1:28" ht="15.75" customHeight="1" x14ac:dyDescent="0.2">
      <c r="A716" s="27"/>
      <c r="B716" s="27"/>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c r="AA716" s="28"/>
      <c r="AB716" s="28"/>
    </row>
    <row r="717" spans="1:28" ht="15.75" customHeight="1" x14ac:dyDescent="0.2">
      <c r="A717" s="27"/>
      <c r="B717" s="27"/>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c r="AA717" s="28"/>
      <c r="AB717" s="28"/>
    </row>
    <row r="718" spans="1:28" ht="15.75" customHeight="1" x14ac:dyDescent="0.2">
      <c r="A718" s="27"/>
      <c r="B718" s="27"/>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c r="AA718" s="28"/>
      <c r="AB718" s="28"/>
    </row>
    <row r="719" spans="1:28" ht="15.75" customHeight="1" x14ac:dyDescent="0.2">
      <c r="A719" s="27"/>
      <c r="B719" s="27"/>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c r="AA719" s="28"/>
      <c r="AB719" s="28"/>
    </row>
    <row r="720" spans="1:28" ht="15.75" customHeight="1" x14ac:dyDescent="0.2">
      <c r="A720" s="27"/>
      <c r="B720" s="27"/>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c r="AA720" s="28"/>
      <c r="AB720" s="28"/>
    </row>
    <row r="721" spans="1:28" ht="15.75" customHeight="1" x14ac:dyDescent="0.2">
      <c r="A721" s="27"/>
      <c r="B721" s="27"/>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c r="AA721" s="28"/>
      <c r="AB721" s="28"/>
    </row>
    <row r="722" spans="1:28" ht="15.75" customHeight="1" x14ac:dyDescent="0.2">
      <c r="A722" s="27"/>
      <c r="B722" s="27"/>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c r="AA722" s="28"/>
      <c r="AB722" s="28"/>
    </row>
    <row r="723" spans="1:28" ht="15.75" customHeight="1" x14ac:dyDescent="0.2">
      <c r="A723" s="27"/>
      <c r="B723" s="27"/>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c r="AA723" s="28"/>
      <c r="AB723" s="28"/>
    </row>
    <row r="724" spans="1:28" ht="15.75" customHeight="1" x14ac:dyDescent="0.2">
      <c r="A724" s="27"/>
      <c r="B724" s="27"/>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c r="AA724" s="28"/>
      <c r="AB724" s="28"/>
    </row>
    <row r="725" spans="1:28" ht="15.75" customHeight="1" x14ac:dyDescent="0.2">
      <c r="A725" s="27"/>
      <c r="B725" s="27"/>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c r="AA725" s="28"/>
      <c r="AB725" s="28"/>
    </row>
    <row r="726" spans="1:28" ht="15.75" customHeight="1" x14ac:dyDescent="0.2">
      <c r="A726" s="27"/>
      <c r="B726" s="27"/>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c r="AA726" s="28"/>
      <c r="AB726" s="28"/>
    </row>
    <row r="727" spans="1:28" ht="15.75" customHeight="1" x14ac:dyDescent="0.2">
      <c r="A727" s="27"/>
      <c r="B727" s="27"/>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c r="AA727" s="28"/>
      <c r="AB727" s="28"/>
    </row>
    <row r="728" spans="1:28" ht="15.75" customHeight="1" x14ac:dyDescent="0.2">
      <c r="A728" s="27"/>
      <c r="B728" s="27"/>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c r="AA728" s="28"/>
      <c r="AB728" s="28"/>
    </row>
    <row r="729" spans="1:28" ht="15.75" customHeight="1" x14ac:dyDescent="0.2">
      <c r="A729" s="27"/>
      <c r="B729" s="27"/>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c r="AA729" s="28"/>
      <c r="AB729" s="28"/>
    </row>
    <row r="730" spans="1:28" ht="15.75" customHeight="1" x14ac:dyDescent="0.2">
      <c r="A730" s="27"/>
      <c r="B730" s="27"/>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c r="AA730" s="28"/>
      <c r="AB730" s="28"/>
    </row>
    <row r="731" spans="1:28" ht="15.75" customHeight="1" x14ac:dyDescent="0.2">
      <c r="A731" s="27"/>
      <c r="B731" s="27"/>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c r="AA731" s="28"/>
      <c r="AB731" s="28"/>
    </row>
    <row r="732" spans="1:28" ht="15.75" customHeight="1" x14ac:dyDescent="0.2">
      <c r="A732" s="27"/>
      <c r="B732" s="27"/>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c r="AA732" s="28"/>
      <c r="AB732" s="28"/>
    </row>
    <row r="733" spans="1:28" ht="15.75" customHeight="1" x14ac:dyDescent="0.2">
      <c r="A733" s="27"/>
      <c r="B733" s="27"/>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c r="AA733" s="28"/>
      <c r="AB733" s="28"/>
    </row>
    <row r="734" spans="1:28" ht="15.75" customHeight="1" x14ac:dyDescent="0.2">
      <c r="A734" s="27"/>
      <c r="B734" s="27"/>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c r="AA734" s="28"/>
      <c r="AB734" s="28"/>
    </row>
    <row r="735" spans="1:28" ht="15.75" customHeight="1" x14ac:dyDescent="0.2">
      <c r="A735" s="27"/>
      <c r="B735" s="27"/>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c r="AA735" s="28"/>
      <c r="AB735" s="28"/>
    </row>
    <row r="736" spans="1:28" ht="15.75" customHeight="1" x14ac:dyDescent="0.2">
      <c r="A736" s="27"/>
      <c r="B736" s="27"/>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c r="AA736" s="28"/>
      <c r="AB736" s="28"/>
    </row>
    <row r="737" spans="1:28" ht="15.75" customHeight="1" x14ac:dyDescent="0.2">
      <c r="A737" s="27"/>
      <c r="B737" s="27"/>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c r="AA737" s="28"/>
      <c r="AB737" s="28"/>
    </row>
    <row r="738" spans="1:28" ht="15.75" customHeight="1" x14ac:dyDescent="0.2">
      <c r="A738" s="27"/>
      <c r="B738" s="27"/>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c r="AA738" s="28"/>
      <c r="AB738" s="28"/>
    </row>
    <row r="739" spans="1:28" ht="15.75" customHeight="1" x14ac:dyDescent="0.2">
      <c r="A739" s="27"/>
      <c r="B739" s="27"/>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c r="AA739" s="28"/>
      <c r="AB739" s="28"/>
    </row>
    <row r="740" spans="1:28" ht="15.75" customHeight="1" x14ac:dyDescent="0.2">
      <c r="A740" s="27"/>
      <c r="B740" s="27"/>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c r="AA740" s="28"/>
      <c r="AB740" s="28"/>
    </row>
    <row r="741" spans="1:28" ht="15.75" customHeight="1" x14ac:dyDescent="0.2">
      <c r="A741" s="27"/>
      <c r="B741" s="27"/>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c r="AA741" s="28"/>
      <c r="AB741" s="28"/>
    </row>
    <row r="742" spans="1:28" ht="15.75" customHeight="1" x14ac:dyDescent="0.2">
      <c r="A742" s="27"/>
      <c r="B742" s="27"/>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c r="AA742" s="28"/>
      <c r="AB742" s="28"/>
    </row>
    <row r="743" spans="1:28" ht="15.75" customHeight="1" x14ac:dyDescent="0.2">
      <c r="A743" s="27"/>
      <c r="B743" s="27"/>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c r="AA743" s="28"/>
      <c r="AB743" s="28"/>
    </row>
    <row r="744" spans="1:28" ht="15.75" customHeight="1" x14ac:dyDescent="0.2">
      <c r="A744" s="27"/>
      <c r="B744" s="27"/>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c r="AA744" s="28"/>
      <c r="AB744" s="28"/>
    </row>
    <row r="745" spans="1:28" ht="15.75" customHeight="1" x14ac:dyDescent="0.2">
      <c r="A745" s="27"/>
      <c r="B745" s="27"/>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c r="AA745" s="28"/>
      <c r="AB745" s="28"/>
    </row>
    <row r="746" spans="1:28" ht="15.75" customHeight="1" x14ac:dyDescent="0.2">
      <c r="A746" s="27"/>
      <c r="B746" s="27"/>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c r="AA746" s="28"/>
      <c r="AB746" s="28"/>
    </row>
    <row r="747" spans="1:28" ht="15.75" customHeight="1" x14ac:dyDescent="0.2">
      <c r="A747" s="27"/>
      <c r="B747" s="27"/>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c r="AA747" s="28"/>
      <c r="AB747" s="28"/>
    </row>
    <row r="748" spans="1:28" ht="15.75" customHeight="1" x14ac:dyDescent="0.2">
      <c r="A748" s="27"/>
      <c r="B748" s="27"/>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c r="AA748" s="28"/>
      <c r="AB748" s="28"/>
    </row>
    <row r="749" spans="1:28" ht="15.75" customHeight="1" x14ac:dyDescent="0.2">
      <c r="A749" s="27"/>
      <c r="B749" s="27"/>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c r="AA749" s="28"/>
      <c r="AB749" s="28"/>
    </row>
    <row r="750" spans="1:28" ht="15.75" customHeight="1" x14ac:dyDescent="0.2">
      <c r="A750" s="27"/>
      <c r="B750" s="27"/>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c r="AA750" s="28"/>
      <c r="AB750" s="28"/>
    </row>
    <row r="751" spans="1:28" ht="15.75" customHeight="1" x14ac:dyDescent="0.2">
      <c r="A751" s="27"/>
      <c r="B751" s="27"/>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c r="AA751" s="28"/>
      <c r="AB751" s="28"/>
    </row>
    <row r="752" spans="1:28" ht="15.75" customHeight="1" x14ac:dyDescent="0.2">
      <c r="A752" s="27"/>
      <c r="B752" s="27"/>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c r="AA752" s="28"/>
      <c r="AB752" s="28"/>
    </row>
    <row r="753" spans="1:28" ht="15.75" customHeight="1" x14ac:dyDescent="0.2">
      <c r="A753" s="27"/>
      <c r="B753" s="27"/>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c r="AA753" s="28"/>
      <c r="AB753" s="28"/>
    </row>
    <row r="754" spans="1:28" ht="15.75" customHeight="1" x14ac:dyDescent="0.2">
      <c r="A754" s="27"/>
      <c r="B754" s="27"/>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c r="AA754" s="28"/>
      <c r="AB754" s="28"/>
    </row>
    <row r="755" spans="1:28" ht="15.75" customHeight="1" x14ac:dyDescent="0.2">
      <c r="A755" s="27"/>
      <c r="B755" s="27"/>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c r="AA755" s="28"/>
      <c r="AB755" s="28"/>
    </row>
    <row r="756" spans="1:28" ht="15.75" customHeight="1" x14ac:dyDescent="0.2">
      <c r="A756" s="27"/>
      <c r="B756" s="27"/>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c r="AA756" s="28"/>
      <c r="AB756" s="28"/>
    </row>
    <row r="757" spans="1:28" ht="15.75" customHeight="1" x14ac:dyDescent="0.2">
      <c r="A757" s="27"/>
      <c r="B757" s="27"/>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c r="AA757" s="28"/>
      <c r="AB757" s="28"/>
    </row>
    <row r="758" spans="1:28" ht="15.75" customHeight="1" x14ac:dyDescent="0.2">
      <c r="A758" s="27"/>
      <c r="B758" s="27"/>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c r="AA758" s="28"/>
      <c r="AB758" s="28"/>
    </row>
    <row r="759" spans="1:28" ht="15.75" customHeight="1" x14ac:dyDescent="0.2">
      <c r="A759" s="27"/>
      <c r="B759" s="27"/>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c r="AA759" s="28"/>
      <c r="AB759" s="28"/>
    </row>
    <row r="760" spans="1:28" ht="15.75" customHeight="1" x14ac:dyDescent="0.2">
      <c r="A760" s="27"/>
      <c r="B760" s="27"/>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c r="AA760" s="28"/>
      <c r="AB760" s="28"/>
    </row>
    <row r="761" spans="1:28" ht="15.75" customHeight="1" x14ac:dyDescent="0.2">
      <c r="A761" s="27"/>
      <c r="B761" s="27"/>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c r="AA761" s="28"/>
      <c r="AB761" s="28"/>
    </row>
    <row r="762" spans="1:28" ht="15.75" customHeight="1" x14ac:dyDescent="0.2">
      <c r="A762" s="27"/>
      <c r="B762" s="27"/>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c r="AA762" s="28"/>
      <c r="AB762" s="28"/>
    </row>
    <row r="763" spans="1:28" ht="15.75" customHeight="1" x14ac:dyDescent="0.2">
      <c r="A763" s="27"/>
      <c r="B763" s="27"/>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c r="AA763" s="28"/>
      <c r="AB763" s="28"/>
    </row>
    <row r="764" spans="1:28" ht="15.75" customHeight="1" x14ac:dyDescent="0.2">
      <c r="A764" s="27"/>
      <c r="B764" s="27"/>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c r="AA764" s="28"/>
      <c r="AB764" s="28"/>
    </row>
    <row r="765" spans="1:28" ht="15.75" customHeight="1" x14ac:dyDescent="0.2">
      <c r="A765" s="27"/>
      <c r="B765" s="27"/>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c r="AA765" s="28"/>
      <c r="AB765" s="28"/>
    </row>
    <row r="766" spans="1:28" ht="15.75" customHeight="1" x14ac:dyDescent="0.2">
      <c r="A766" s="27"/>
      <c r="B766" s="27"/>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c r="AA766" s="28"/>
      <c r="AB766" s="28"/>
    </row>
    <row r="767" spans="1:28" ht="15.75" customHeight="1" x14ac:dyDescent="0.2">
      <c r="A767" s="27"/>
      <c r="B767" s="27"/>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c r="AA767" s="28"/>
      <c r="AB767" s="28"/>
    </row>
    <row r="768" spans="1:28" ht="15.75" customHeight="1" x14ac:dyDescent="0.2">
      <c r="A768" s="27"/>
      <c r="B768" s="27"/>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c r="AA768" s="28"/>
      <c r="AB768" s="28"/>
    </row>
    <row r="769" spans="1:28" ht="15.75" customHeight="1" x14ac:dyDescent="0.2">
      <c r="A769" s="27"/>
      <c r="B769" s="27"/>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c r="AA769" s="28"/>
      <c r="AB769" s="28"/>
    </row>
    <row r="770" spans="1:28" ht="15.75" customHeight="1" x14ac:dyDescent="0.2">
      <c r="A770" s="27"/>
      <c r="B770" s="27"/>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c r="AA770" s="28"/>
      <c r="AB770" s="28"/>
    </row>
    <row r="771" spans="1:28" ht="15.75" customHeight="1" x14ac:dyDescent="0.2">
      <c r="A771" s="27"/>
      <c r="B771" s="27"/>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c r="AA771" s="28"/>
      <c r="AB771" s="28"/>
    </row>
    <row r="772" spans="1:28" ht="15.75" customHeight="1" x14ac:dyDescent="0.2">
      <c r="A772" s="27"/>
      <c r="B772" s="27"/>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c r="AA772" s="28"/>
      <c r="AB772" s="28"/>
    </row>
    <row r="773" spans="1:28" ht="15.75" customHeight="1" x14ac:dyDescent="0.2">
      <c r="A773" s="27"/>
      <c r="B773" s="27"/>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c r="AA773" s="28"/>
      <c r="AB773" s="28"/>
    </row>
    <row r="774" spans="1:28" ht="15.75" customHeight="1" x14ac:dyDescent="0.2">
      <c r="A774" s="27"/>
      <c r="B774" s="27"/>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c r="AA774" s="28"/>
      <c r="AB774" s="28"/>
    </row>
    <row r="775" spans="1:28" ht="15.75" customHeight="1" x14ac:dyDescent="0.2">
      <c r="A775" s="27"/>
      <c r="B775" s="27"/>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c r="AA775" s="28"/>
      <c r="AB775" s="28"/>
    </row>
    <row r="776" spans="1:28" ht="15.75" customHeight="1" x14ac:dyDescent="0.2">
      <c r="A776" s="27"/>
      <c r="B776" s="27"/>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c r="AA776" s="28"/>
      <c r="AB776" s="28"/>
    </row>
    <row r="777" spans="1:28" ht="15.75" customHeight="1" x14ac:dyDescent="0.2">
      <c r="A777" s="27"/>
      <c r="B777" s="27"/>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c r="AA777" s="28"/>
      <c r="AB777" s="28"/>
    </row>
    <row r="778" spans="1:28" ht="15.75" customHeight="1" x14ac:dyDescent="0.2">
      <c r="A778" s="27"/>
      <c r="B778" s="27"/>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c r="AA778" s="28"/>
      <c r="AB778" s="28"/>
    </row>
    <row r="779" spans="1:28" ht="15.75" customHeight="1" x14ac:dyDescent="0.2">
      <c r="A779" s="27"/>
      <c r="B779" s="27"/>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c r="AA779" s="28"/>
      <c r="AB779" s="28"/>
    </row>
    <row r="780" spans="1:28" ht="15.75" customHeight="1" x14ac:dyDescent="0.2">
      <c r="A780" s="27"/>
      <c r="B780" s="27"/>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c r="AA780" s="28"/>
      <c r="AB780" s="28"/>
    </row>
    <row r="781" spans="1:28" ht="15.75" customHeight="1" x14ac:dyDescent="0.2">
      <c r="A781" s="27"/>
      <c r="B781" s="27"/>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c r="AA781" s="28"/>
      <c r="AB781" s="28"/>
    </row>
    <row r="782" spans="1:28" ht="15.75" customHeight="1" x14ac:dyDescent="0.2">
      <c r="A782" s="27"/>
      <c r="B782" s="27"/>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c r="AA782" s="28"/>
      <c r="AB782" s="28"/>
    </row>
    <row r="783" spans="1:28" ht="15.75" customHeight="1" x14ac:dyDescent="0.2">
      <c r="A783" s="27"/>
      <c r="B783" s="27"/>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c r="AA783" s="28"/>
      <c r="AB783" s="28"/>
    </row>
    <row r="784" spans="1:28" ht="15.75" customHeight="1" x14ac:dyDescent="0.2">
      <c r="A784" s="27"/>
      <c r="B784" s="27"/>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c r="AA784" s="28"/>
      <c r="AB784" s="28"/>
    </row>
    <row r="785" spans="1:28" ht="15.75" customHeight="1" x14ac:dyDescent="0.2">
      <c r="A785" s="27"/>
      <c r="B785" s="27"/>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c r="AA785" s="28"/>
      <c r="AB785" s="28"/>
    </row>
    <row r="786" spans="1:28" ht="15.75" customHeight="1" x14ac:dyDescent="0.2">
      <c r="A786" s="27"/>
      <c r="B786" s="27"/>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c r="AA786" s="28"/>
      <c r="AB786" s="28"/>
    </row>
    <row r="787" spans="1:28" ht="15.75" customHeight="1" x14ac:dyDescent="0.2">
      <c r="A787" s="27"/>
      <c r="B787" s="27"/>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c r="AA787" s="28"/>
      <c r="AB787" s="28"/>
    </row>
    <row r="788" spans="1:28" ht="15.75" customHeight="1" x14ac:dyDescent="0.2">
      <c r="A788" s="27"/>
      <c r="B788" s="27"/>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c r="AA788" s="28"/>
      <c r="AB788" s="28"/>
    </row>
    <row r="789" spans="1:28" ht="15.75" customHeight="1" x14ac:dyDescent="0.2">
      <c r="A789" s="27"/>
      <c r="B789" s="27"/>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c r="AA789" s="28"/>
      <c r="AB789" s="28"/>
    </row>
    <row r="790" spans="1:28" ht="15.75" customHeight="1" x14ac:dyDescent="0.2">
      <c r="A790" s="27"/>
      <c r="B790" s="27"/>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c r="AA790" s="28"/>
      <c r="AB790" s="28"/>
    </row>
    <row r="791" spans="1:28" ht="15.75" customHeight="1" x14ac:dyDescent="0.2">
      <c r="A791" s="27"/>
      <c r="B791" s="27"/>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c r="AA791" s="28"/>
      <c r="AB791" s="28"/>
    </row>
    <row r="792" spans="1:28" ht="15.75" customHeight="1" x14ac:dyDescent="0.2">
      <c r="A792" s="27"/>
      <c r="B792" s="27"/>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c r="AA792" s="28"/>
      <c r="AB792" s="28"/>
    </row>
    <row r="793" spans="1:28" ht="15.75" customHeight="1" x14ac:dyDescent="0.2">
      <c r="A793" s="27"/>
      <c r="B793" s="27"/>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c r="AA793" s="28"/>
      <c r="AB793" s="28"/>
    </row>
    <row r="794" spans="1:28" ht="15.75" customHeight="1" x14ac:dyDescent="0.2">
      <c r="A794" s="27"/>
      <c r="B794" s="27"/>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c r="AA794" s="28"/>
      <c r="AB794" s="28"/>
    </row>
    <row r="795" spans="1:28" ht="15.75" customHeight="1" x14ac:dyDescent="0.2">
      <c r="A795" s="27"/>
      <c r="B795" s="27"/>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c r="AA795" s="28"/>
      <c r="AB795" s="28"/>
    </row>
    <row r="796" spans="1:28" ht="15.75" customHeight="1" x14ac:dyDescent="0.2">
      <c r="A796" s="27"/>
      <c r="B796" s="27"/>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c r="AA796" s="28"/>
      <c r="AB796" s="28"/>
    </row>
    <row r="797" spans="1:28" ht="15.75" customHeight="1" x14ac:dyDescent="0.2">
      <c r="A797" s="27"/>
      <c r="B797" s="27"/>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c r="AA797" s="28"/>
      <c r="AB797" s="28"/>
    </row>
    <row r="798" spans="1:28" ht="15.75" customHeight="1" x14ac:dyDescent="0.2">
      <c r="A798" s="27"/>
      <c r="B798" s="27"/>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c r="AA798" s="28"/>
      <c r="AB798" s="28"/>
    </row>
    <row r="799" spans="1:28" ht="15.75" customHeight="1" x14ac:dyDescent="0.2">
      <c r="A799" s="27"/>
      <c r="B799" s="27"/>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c r="AA799" s="28"/>
      <c r="AB799" s="28"/>
    </row>
    <row r="800" spans="1:28" ht="15.75" customHeight="1" x14ac:dyDescent="0.2">
      <c r="A800" s="27"/>
      <c r="B800" s="27"/>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c r="AA800" s="28"/>
      <c r="AB800" s="28"/>
    </row>
    <row r="801" spans="1:28" ht="15.75" customHeight="1" x14ac:dyDescent="0.2">
      <c r="A801" s="27"/>
      <c r="B801" s="27"/>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c r="AA801" s="28"/>
      <c r="AB801" s="28"/>
    </row>
    <row r="802" spans="1:28" ht="15.75" customHeight="1" x14ac:dyDescent="0.2">
      <c r="A802" s="27"/>
      <c r="B802" s="27"/>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c r="AA802" s="28"/>
      <c r="AB802" s="28"/>
    </row>
    <row r="803" spans="1:28" ht="15.75" customHeight="1" x14ac:dyDescent="0.2">
      <c r="A803" s="27"/>
      <c r="B803" s="27"/>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c r="AA803" s="28"/>
      <c r="AB803" s="28"/>
    </row>
    <row r="804" spans="1:28" ht="15.75" customHeight="1" x14ac:dyDescent="0.2">
      <c r="A804" s="27"/>
      <c r="B804" s="27"/>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c r="AA804" s="28"/>
      <c r="AB804" s="28"/>
    </row>
    <row r="805" spans="1:28" ht="15.75" customHeight="1" x14ac:dyDescent="0.2">
      <c r="A805" s="27"/>
      <c r="B805" s="27"/>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c r="AA805" s="28"/>
      <c r="AB805" s="28"/>
    </row>
    <row r="806" spans="1:28" ht="15.75" customHeight="1" x14ac:dyDescent="0.2">
      <c r="A806" s="27"/>
      <c r="B806" s="27"/>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c r="AA806" s="28"/>
      <c r="AB806" s="28"/>
    </row>
    <row r="807" spans="1:28" ht="15.75" customHeight="1" x14ac:dyDescent="0.2">
      <c r="A807" s="27"/>
      <c r="B807" s="27"/>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c r="AA807" s="28"/>
      <c r="AB807" s="28"/>
    </row>
    <row r="808" spans="1:28" ht="15.75" customHeight="1" x14ac:dyDescent="0.2">
      <c r="A808" s="27"/>
      <c r="B808" s="27"/>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c r="AA808" s="28"/>
      <c r="AB808" s="28"/>
    </row>
    <row r="809" spans="1:28" ht="15.75" customHeight="1" x14ac:dyDescent="0.2">
      <c r="A809" s="27"/>
      <c r="B809" s="27"/>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c r="AA809" s="28"/>
      <c r="AB809" s="28"/>
    </row>
    <row r="810" spans="1:28" ht="15.75" customHeight="1" x14ac:dyDescent="0.2">
      <c r="A810" s="27"/>
      <c r="B810" s="27"/>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c r="AA810" s="28"/>
      <c r="AB810" s="28"/>
    </row>
    <row r="811" spans="1:28" ht="15.75" customHeight="1" x14ac:dyDescent="0.2">
      <c r="A811" s="27"/>
      <c r="B811" s="27"/>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c r="AA811" s="28"/>
      <c r="AB811" s="28"/>
    </row>
    <row r="812" spans="1:28" ht="15.75" customHeight="1" x14ac:dyDescent="0.2">
      <c r="A812" s="27"/>
      <c r="B812" s="27"/>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c r="AA812" s="28"/>
      <c r="AB812" s="28"/>
    </row>
    <row r="813" spans="1:28" ht="15.75" customHeight="1" x14ac:dyDescent="0.2">
      <c r="A813" s="27"/>
      <c r="B813" s="27"/>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c r="AA813" s="28"/>
      <c r="AB813" s="28"/>
    </row>
    <row r="814" spans="1:28" ht="15.75" customHeight="1" x14ac:dyDescent="0.2">
      <c r="A814" s="27"/>
      <c r="B814" s="27"/>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c r="AA814" s="28"/>
      <c r="AB814" s="28"/>
    </row>
    <row r="815" spans="1:28" ht="15.75" customHeight="1" x14ac:dyDescent="0.2">
      <c r="A815" s="27"/>
      <c r="B815" s="27"/>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c r="AA815" s="28"/>
      <c r="AB815" s="28"/>
    </row>
    <row r="816" spans="1:28" ht="15.75" customHeight="1" x14ac:dyDescent="0.2">
      <c r="A816" s="27"/>
      <c r="B816" s="27"/>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c r="AA816" s="28"/>
      <c r="AB816" s="28"/>
    </row>
    <row r="817" spans="1:28" ht="15.75" customHeight="1" x14ac:dyDescent="0.2">
      <c r="A817" s="27"/>
      <c r="B817" s="27"/>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c r="AA817" s="28"/>
      <c r="AB817" s="28"/>
    </row>
    <row r="818" spans="1:28" ht="15.75" customHeight="1" x14ac:dyDescent="0.2">
      <c r="A818" s="27"/>
      <c r="B818" s="27"/>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c r="AA818" s="28"/>
      <c r="AB818" s="28"/>
    </row>
    <row r="819" spans="1:28" ht="15.75" customHeight="1" x14ac:dyDescent="0.2">
      <c r="A819" s="27"/>
      <c r="B819" s="27"/>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c r="AA819" s="28"/>
      <c r="AB819" s="28"/>
    </row>
    <row r="820" spans="1:28" ht="15.75" customHeight="1" x14ac:dyDescent="0.2">
      <c r="A820" s="27"/>
      <c r="B820" s="27"/>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c r="AA820" s="28"/>
      <c r="AB820" s="28"/>
    </row>
    <row r="821" spans="1:28" ht="15.75" customHeight="1" x14ac:dyDescent="0.2">
      <c r="A821" s="27"/>
      <c r="B821" s="27"/>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c r="AA821" s="28"/>
      <c r="AB821" s="28"/>
    </row>
    <row r="822" spans="1:28" ht="15.75" customHeight="1" x14ac:dyDescent="0.2">
      <c r="A822" s="27"/>
      <c r="B822" s="27"/>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c r="AA822" s="28"/>
      <c r="AB822" s="28"/>
    </row>
    <row r="823" spans="1:28" ht="15.75" customHeight="1" x14ac:dyDescent="0.2">
      <c r="A823" s="27"/>
      <c r="B823" s="27"/>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c r="AA823" s="28"/>
      <c r="AB823" s="28"/>
    </row>
    <row r="824" spans="1:28" ht="15.75" customHeight="1" x14ac:dyDescent="0.2">
      <c r="A824" s="27"/>
      <c r="B824" s="27"/>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c r="AA824" s="28"/>
      <c r="AB824" s="28"/>
    </row>
    <row r="825" spans="1:28" ht="15.75" customHeight="1" x14ac:dyDescent="0.2">
      <c r="A825" s="27"/>
      <c r="B825" s="27"/>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c r="AA825" s="28"/>
      <c r="AB825" s="28"/>
    </row>
    <row r="826" spans="1:28" ht="15.75" customHeight="1" x14ac:dyDescent="0.2">
      <c r="A826" s="27"/>
      <c r="B826" s="27"/>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c r="AA826" s="28"/>
      <c r="AB826" s="28"/>
    </row>
    <row r="827" spans="1:28" ht="15.75" customHeight="1" x14ac:dyDescent="0.2">
      <c r="A827" s="27"/>
      <c r="B827" s="27"/>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c r="AA827" s="28"/>
      <c r="AB827" s="28"/>
    </row>
    <row r="828" spans="1:28" ht="15.75" customHeight="1" x14ac:dyDescent="0.2">
      <c r="A828" s="27"/>
      <c r="B828" s="27"/>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c r="AA828" s="28"/>
      <c r="AB828" s="28"/>
    </row>
    <row r="829" spans="1:28" ht="15.75" customHeight="1" x14ac:dyDescent="0.2">
      <c r="A829" s="27"/>
      <c r="B829" s="27"/>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c r="AA829" s="28"/>
      <c r="AB829" s="28"/>
    </row>
    <row r="830" spans="1:28" ht="15.75" customHeight="1" x14ac:dyDescent="0.2">
      <c r="A830" s="27"/>
      <c r="B830" s="27"/>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c r="AA830" s="28"/>
      <c r="AB830" s="28"/>
    </row>
    <row r="831" spans="1:28" ht="15.75" customHeight="1" x14ac:dyDescent="0.2">
      <c r="A831" s="27"/>
      <c r="B831" s="27"/>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c r="AA831" s="28"/>
      <c r="AB831" s="28"/>
    </row>
    <row r="832" spans="1:28" ht="15.75" customHeight="1" x14ac:dyDescent="0.2">
      <c r="A832" s="27"/>
      <c r="B832" s="27"/>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c r="AA832" s="28"/>
      <c r="AB832" s="28"/>
    </row>
    <row r="833" spans="1:28" ht="15.75" customHeight="1" x14ac:dyDescent="0.2">
      <c r="A833" s="27"/>
      <c r="B833" s="27"/>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c r="AA833" s="28"/>
      <c r="AB833" s="28"/>
    </row>
    <row r="834" spans="1:28" ht="15.75" customHeight="1" x14ac:dyDescent="0.2">
      <c r="A834" s="27"/>
      <c r="B834" s="27"/>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c r="AA834" s="28"/>
      <c r="AB834" s="28"/>
    </row>
    <row r="835" spans="1:28" ht="15.75" customHeight="1" x14ac:dyDescent="0.2">
      <c r="A835" s="27"/>
      <c r="B835" s="27"/>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c r="AA835" s="28"/>
      <c r="AB835" s="28"/>
    </row>
    <row r="836" spans="1:28" ht="15.75" customHeight="1" x14ac:dyDescent="0.2">
      <c r="A836" s="27"/>
      <c r="B836" s="27"/>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c r="AA836" s="28"/>
      <c r="AB836" s="28"/>
    </row>
    <row r="837" spans="1:28" ht="15.75" customHeight="1" x14ac:dyDescent="0.2">
      <c r="A837" s="27"/>
      <c r="B837" s="27"/>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c r="AA837" s="28"/>
      <c r="AB837" s="28"/>
    </row>
    <row r="838" spans="1:28" ht="15.75" customHeight="1" x14ac:dyDescent="0.2">
      <c r="A838" s="27"/>
      <c r="B838" s="27"/>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c r="AA838" s="28"/>
      <c r="AB838" s="28"/>
    </row>
    <row r="839" spans="1:28" ht="15.75" customHeight="1" x14ac:dyDescent="0.2">
      <c r="A839" s="27"/>
      <c r="B839" s="27"/>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c r="AA839" s="28"/>
      <c r="AB839" s="28"/>
    </row>
    <row r="840" spans="1:28" ht="15.75" customHeight="1" x14ac:dyDescent="0.2">
      <c r="A840" s="27"/>
      <c r="B840" s="27"/>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c r="AA840" s="28"/>
      <c r="AB840" s="28"/>
    </row>
    <row r="841" spans="1:28" ht="15.75" customHeight="1" x14ac:dyDescent="0.2">
      <c r="A841" s="27"/>
      <c r="B841" s="27"/>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c r="AA841" s="28"/>
      <c r="AB841" s="28"/>
    </row>
    <row r="842" spans="1:28" ht="15.75" customHeight="1" x14ac:dyDescent="0.2">
      <c r="A842" s="27"/>
      <c r="B842" s="27"/>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c r="AA842" s="28"/>
      <c r="AB842" s="28"/>
    </row>
    <row r="843" spans="1:28" ht="15.75" customHeight="1" x14ac:dyDescent="0.2">
      <c r="A843" s="27"/>
      <c r="B843" s="27"/>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c r="AA843" s="28"/>
      <c r="AB843" s="28"/>
    </row>
    <row r="844" spans="1:28" ht="15.75" customHeight="1" x14ac:dyDescent="0.2">
      <c r="A844" s="27"/>
      <c r="B844" s="27"/>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c r="AA844" s="28"/>
      <c r="AB844" s="28"/>
    </row>
    <row r="845" spans="1:28" ht="15.75" customHeight="1" x14ac:dyDescent="0.2">
      <c r="A845" s="27"/>
      <c r="B845" s="27"/>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c r="AA845" s="28"/>
      <c r="AB845" s="28"/>
    </row>
    <row r="846" spans="1:28" ht="15.75" customHeight="1" x14ac:dyDescent="0.2">
      <c r="A846" s="27"/>
      <c r="B846" s="27"/>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c r="AA846" s="28"/>
      <c r="AB846" s="28"/>
    </row>
    <row r="847" spans="1:28" ht="15.75" customHeight="1" x14ac:dyDescent="0.2">
      <c r="A847" s="27"/>
      <c r="B847" s="27"/>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c r="AA847" s="28"/>
      <c r="AB847" s="28"/>
    </row>
    <row r="848" spans="1:28" ht="15.75" customHeight="1" x14ac:dyDescent="0.2">
      <c r="A848" s="27"/>
      <c r="B848" s="27"/>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c r="AA848" s="28"/>
      <c r="AB848" s="28"/>
    </row>
    <row r="849" spans="1:28" ht="15.75" customHeight="1" x14ac:dyDescent="0.2">
      <c r="A849" s="27"/>
      <c r="B849" s="27"/>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c r="AA849" s="28"/>
      <c r="AB849" s="28"/>
    </row>
    <row r="850" spans="1:28" ht="15.75" customHeight="1" x14ac:dyDescent="0.2">
      <c r="A850" s="27"/>
      <c r="B850" s="27"/>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c r="AA850" s="28"/>
      <c r="AB850" s="28"/>
    </row>
    <row r="851" spans="1:28" ht="15.75" customHeight="1" x14ac:dyDescent="0.2">
      <c r="A851" s="27"/>
      <c r="B851" s="27"/>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c r="AA851" s="28"/>
      <c r="AB851" s="28"/>
    </row>
    <row r="852" spans="1:28" ht="15.75" customHeight="1" x14ac:dyDescent="0.2">
      <c r="A852" s="27"/>
      <c r="B852" s="27"/>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c r="AA852" s="28"/>
      <c r="AB852" s="28"/>
    </row>
    <row r="853" spans="1:28" ht="15.75" customHeight="1" x14ac:dyDescent="0.2">
      <c r="A853" s="27"/>
      <c r="B853" s="27"/>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c r="AA853" s="28"/>
      <c r="AB853" s="28"/>
    </row>
    <row r="854" spans="1:28" ht="15.75" customHeight="1" x14ac:dyDescent="0.2">
      <c r="A854" s="27"/>
      <c r="B854" s="27"/>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c r="AA854" s="28"/>
      <c r="AB854" s="28"/>
    </row>
    <row r="855" spans="1:28" ht="15.75" customHeight="1" x14ac:dyDescent="0.2">
      <c r="A855" s="27"/>
      <c r="B855" s="27"/>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c r="AA855" s="28"/>
      <c r="AB855" s="28"/>
    </row>
    <row r="856" spans="1:28" ht="15.75" customHeight="1" x14ac:dyDescent="0.2">
      <c r="A856" s="27"/>
      <c r="B856" s="27"/>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c r="AA856" s="28"/>
      <c r="AB856" s="28"/>
    </row>
    <row r="857" spans="1:28" ht="15.75" customHeight="1" x14ac:dyDescent="0.2">
      <c r="A857" s="27"/>
      <c r="B857" s="27"/>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c r="AA857" s="28"/>
      <c r="AB857" s="28"/>
    </row>
    <row r="858" spans="1:28" ht="15.75" customHeight="1" x14ac:dyDescent="0.2">
      <c r="A858" s="27"/>
      <c r="B858" s="27"/>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c r="AA858" s="28"/>
      <c r="AB858" s="28"/>
    </row>
    <row r="859" spans="1:28" ht="15.75" customHeight="1" x14ac:dyDescent="0.2">
      <c r="A859" s="27"/>
      <c r="B859" s="27"/>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c r="AA859" s="28"/>
      <c r="AB859" s="28"/>
    </row>
    <row r="860" spans="1:28" ht="15.75" customHeight="1" x14ac:dyDescent="0.2">
      <c r="A860" s="27"/>
      <c r="B860" s="27"/>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c r="AA860" s="28"/>
      <c r="AB860" s="28"/>
    </row>
    <row r="861" spans="1:28" ht="15.75" customHeight="1" x14ac:dyDescent="0.2">
      <c r="A861" s="27"/>
      <c r="B861" s="27"/>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c r="AA861" s="28"/>
      <c r="AB861" s="28"/>
    </row>
    <row r="862" spans="1:28" ht="15.75" customHeight="1" x14ac:dyDescent="0.2">
      <c r="A862" s="27"/>
      <c r="B862" s="27"/>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c r="AA862" s="28"/>
      <c r="AB862" s="28"/>
    </row>
    <row r="863" spans="1:28" ht="15.75" customHeight="1" x14ac:dyDescent="0.2">
      <c r="A863" s="27"/>
      <c r="B863" s="27"/>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c r="AA863" s="28"/>
      <c r="AB863" s="28"/>
    </row>
    <row r="864" spans="1:28" ht="15.75" customHeight="1" x14ac:dyDescent="0.2">
      <c r="A864" s="27"/>
      <c r="B864" s="27"/>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c r="AA864" s="28"/>
      <c r="AB864" s="28"/>
    </row>
    <row r="865" spans="1:28" ht="15.75" customHeight="1" x14ac:dyDescent="0.2">
      <c r="A865" s="27"/>
      <c r="B865" s="27"/>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c r="AA865" s="28"/>
      <c r="AB865" s="28"/>
    </row>
    <row r="866" spans="1:28" ht="15.75" customHeight="1" x14ac:dyDescent="0.2">
      <c r="A866" s="27"/>
      <c r="B866" s="27"/>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c r="AA866" s="28"/>
      <c r="AB866" s="28"/>
    </row>
    <row r="867" spans="1:28" ht="15.75" customHeight="1" x14ac:dyDescent="0.2">
      <c r="A867" s="27"/>
      <c r="B867" s="27"/>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c r="AA867" s="28"/>
      <c r="AB867" s="28"/>
    </row>
    <row r="868" spans="1:28" ht="15.75" customHeight="1" x14ac:dyDescent="0.2">
      <c r="A868" s="27"/>
      <c r="B868" s="27"/>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c r="AA868" s="28"/>
      <c r="AB868" s="28"/>
    </row>
    <row r="869" spans="1:28" ht="15.75" customHeight="1" x14ac:dyDescent="0.2">
      <c r="A869" s="27"/>
      <c r="B869" s="27"/>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c r="AA869" s="28"/>
      <c r="AB869" s="28"/>
    </row>
    <row r="870" spans="1:28" ht="15.75" customHeight="1" x14ac:dyDescent="0.2">
      <c r="A870" s="27"/>
      <c r="B870" s="27"/>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c r="AA870" s="28"/>
      <c r="AB870" s="28"/>
    </row>
    <row r="871" spans="1:28" ht="15.75" customHeight="1" x14ac:dyDescent="0.2">
      <c r="A871" s="27"/>
      <c r="B871" s="27"/>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c r="AA871" s="28"/>
      <c r="AB871" s="28"/>
    </row>
    <row r="872" spans="1:28" ht="15.75" customHeight="1" x14ac:dyDescent="0.2">
      <c r="A872" s="27"/>
      <c r="B872" s="27"/>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c r="AA872" s="28"/>
      <c r="AB872" s="28"/>
    </row>
    <row r="873" spans="1:28" ht="15.75" customHeight="1" x14ac:dyDescent="0.2">
      <c r="A873" s="27"/>
      <c r="B873" s="27"/>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c r="AA873" s="28"/>
      <c r="AB873" s="28"/>
    </row>
    <row r="874" spans="1:28" ht="15.75" customHeight="1" x14ac:dyDescent="0.2">
      <c r="A874" s="27"/>
      <c r="B874" s="27"/>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c r="AA874" s="28"/>
      <c r="AB874" s="28"/>
    </row>
    <row r="875" spans="1:28" ht="15.75" customHeight="1" x14ac:dyDescent="0.2">
      <c r="A875" s="27"/>
      <c r="B875" s="27"/>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c r="AA875" s="28"/>
      <c r="AB875" s="28"/>
    </row>
    <row r="876" spans="1:28" ht="15.75" customHeight="1" x14ac:dyDescent="0.2">
      <c r="A876" s="27"/>
      <c r="B876" s="27"/>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c r="AA876" s="28"/>
      <c r="AB876" s="28"/>
    </row>
    <row r="877" spans="1:28" ht="15.75" customHeight="1" x14ac:dyDescent="0.2">
      <c r="A877" s="27"/>
      <c r="B877" s="27"/>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c r="AA877" s="28"/>
      <c r="AB877" s="28"/>
    </row>
    <row r="878" spans="1:28" ht="15.75" customHeight="1" x14ac:dyDescent="0.2">
      <c r="A878" s="27"/>
      <c r="B878" s="27"/>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c r="AA878" s="28"/>
      <c r="AB878" s="28"/>
    </row>
    <row r="879" spans="1:28" ht="15.75" customHeight="1" x14ac:dyDescent="0.2">
      <c r="A879" s="27"/>
      <c r="B879" s="27"/>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c r="AA879" s="28"/>
      <c r="AB879" s="28"/>
    </row>
    <row r="880" spans="1:28" ht="15.75" customHeight="1" x14ac:dyDescent="0.2">
      <c r="A880" s="27"/>
      <c r="B880" s="27"/>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c r="AA880" s="28"/>
      <c r="AB880" s="28"/>
    </row>
    <row r="881" spans="1:28" ht="15.75" customHeight="1" x14ac:dyDescent="0.2">
      <c r="A881" s="27"/>
      <c r="B881" s="27"/>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c r="AA881" s="28"/>
      <c r="AB881" s="28"/>
    </row>
    <row r="882" spans="1:28" ht="15.75" customHeight="1" x14ac:dyDescent="0.2">
      <c r="A882" s="27"/>
      <c r="B882" s="27"/>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c r="AA882" s="28"/>
      <c r="AB882" s="28"/>
    </row>
    <row r="883" spans="1:28" ht="15.75" customHeight="1" x14ac:dyDescent="0.2">
      <c r="A883" s="27"/>
      <c r="B883" s="27"/>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c r="AA883" s="28"/>
      <c r="AB883" s="28"/>
    </row>
    <row r="884" spans="1:28" ht="15.75" customHeight="1" x14ac:dyDescent="0.2">
      <c r="A884" s="27"/>
      <c r="B884" s="27"/>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c r="AA884" s="28"/>
      <c r="AB884" s="28"/>
    </row>
    <row r="885" spans="1:28" ht="15.75" customHeight="1" x14ac:dyDescent="0.2">
      <c r="A885" s="27"/>
      <c r="B885" s="27"/>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c r="AA885" s="28"/>
      <c r="AB885" s="28"/>
    </row>
    <row r="886" spans="1:28" ht="15.75" customHeight="1" x14ac:dyDescent="0.2">
      <c r="A886" s="27"/>
      <c r="B886" s="27"/>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c r="AA886" s="28"/>
      <c r="AB886" s="28"/>
    </row>
    <row r="887" spans="1:28" ht="15.75" customHeight="1" x14ac:dyDescent="0.2">
      <c r="A887" s="27"/>
      <c r="B887" s="27"/>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c r="AA887" s="28"/>
      <c r="AB887" s="28"/>
    </row>
    <row r="888" spans="1:28" ht="15.75" customHeight="1" x14ac:dyDescent="0.2">
      <c r="A888" s="27"/>
      <c r="B888" s="27"/>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c r="AA888" s="28"/>
      <c r="AB888" s="28"/>
    </row>
    <row r="889" spans="1:28" ht="15.75" customHeight="1" x14ac:dyDescent="0.2">
      <c r="A889" s="27"/>
      <c r="B889" s="27"/>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c r="AA889" s="28"/>
      <c r="AB889" s="28"/>
    </row>
    <row r="890" spans="1:28" ht="15.75" customHeight="1" x14ac:dyDescent="0.2">
      <c r="A890" s="27"/>
      <c r="B890" s="27"/>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c r="AA890" s="28"/>
      <c r="AB890" s="28"/>
    </row>
    <row r="891" spans="1:28" ht="15.75" customHeight="1" x14ac:dyDescent="0.2">
      <c r="A891" s="27"/>
      <c r="B891" s="27"/>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c r="AA891" s="28"/>
      <c r="AB891" s="28"/>
    </row>
    <row r="892" spans="1:28" ht="15.75" customHeight="1" x14ac:dyDescent="0.2">
      <c r="A892" s="27"/>
      <c r="B892" s="27"/>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c r="AA892" s="28"/>
      <c r="AB892" s="28"/>
    </row>
    <row r="893" spans="1:28" ht="15.75" customHeight="1" x14ac:dyDescent="0.2">
      <c r="A893" s="27"/>
      <c r="B893" s="27"/>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c r="AA893" s="28"/>
      <c r="AB893" s="28"/>
    </row>
    <row r="894" spans="1:28" ht="15.75" customHeight="1" x14ac:dyDescent="0.2">
      <c r="A894" s="27"/>
      <c r="B894" s="27"/>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c r="AA894" s="28"/>
      <c r="AB894" s="28"/>
    </row>
    <row r="895" spans="1:28" ht="15.75" customHeight="1" x14ac:dyDescent="0.2">
      <c r="A895" s="27"/>
      <c r="B895" s="27"/>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c r="AA895" s="28"/>
      <c r="AB895" s="28"/>
    </row>
    <row r="896" spans="1:28" ht="15.75" customHeight="1" x14ac:dyDescent="0.2">
      <c r="A896" s="27"/>
      <c r="B896" s="27"/>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c r="AA896" s="28"/>
      <c r="AB896" s="28"/>
    </row>
    <row r="897" spans="1:28" ht="15.75" customHeight="1" x14ac:dyDescent="0.2">
      <c r="A897" s="27"/>
      <c r="B897" s="27"/>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c r="AA897" s="28"/>
      <c r="AB897" s="28"/>
    </row>
    <row r="898" spans="1:28" ht="15.75" customHeight="1" x14ac:dyDescent="0.2">
      <c r="A898" s="27"/>
      <c r="B898" s="27"/>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c r="AA898" s="28"/>
      <c r="AB898" s="28"/>
    </row>
    <row r="899" spans="1:28" ht="15.75" customHeight="1" x14ac:dyDescent="0.2">
      <c r="A899" s="27"/>
      <c r="B899" s="27"/>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c r="AA899" s="28"/>
      <c r="AB899" s="28"/>
    </row>
    <row r="900" spans="1:28" ht="15.75" customHeight="1" x14ac:dyDescent="0.2">
      <c r="A900" s="27"/>
      <c r="B900" s="27"/>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c r="AA900" s="28"/>
      <c r="AB900" s="28"/>
    </row>
    <row r="901" spans="1:28" ht="15.75" customHeight="1" x14ac:dyDescent="0.2">
      <c r="A901" s="27"/>
      <c r="B901" s="27"/>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c r="AA901" s="28"/>
      <c r="AB901" s="28"/>
    </row>
    <row r="902" spans="1:28" ht="15.75" customHeight="1" x14ac:dyDescent="0.2">
      <c r="A902" s="27"/>
      <c r="B902" s="27"/>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c r="AA902" s="28"/>
      <c r="AB902" s="28"/>
    </row>
    <row r="903" spans="1:28" ht="15.75" customHeight="1" x14ac:dyDescent="0.2">
      <c r="A903" s="27"/>
      <c r="B903" s="27"/>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c r="AA903" s="28"/>
      <c r="AB903" s="28"/>
    </row>
    <row r="904" spans="1:28" ht="15.75" customHeight="1" x14ac:dyDescent="0.2">
      <c r="A904" s="27"/>
      <c r="B904" s="27"/>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c r="AA904" s="28"/>
      <c r="AB904" s="28"/>
    </row>
    <row r="905" spans="1:28" ht="15.75" customHeight="1" x14ac:dyDescent="0.2">
      <c r="A905" s="27"/>
      <c r="B905" s="27"/>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c r="AA905" s="28"/>
      <c r="AB905" s="28"/>
    </row>
    <row r="906" spans="1:28" ht="15.75" customHeight="1" x14ac:dyDescent="0.2">
      <c r="A906" s="27"/>
      <c r="B906" s="27"/>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c r="AA906" s="28"/>
      <c r="AB906" s="28"/>
    </row>
    <row r="907" spans="1:28" ht="15.75" customHeight="1" x14ac:dyDescent="0.2">
      <c r="A907" s="27"/>
      <c r="B907" s="27"/>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c r="AA907" s="28"/>
      <c r="AB907" s="28"/>
    </row>
    <row r="908" spans="1:28" ht="15.75" customHeight="1" x14ac:dyDescent="0.2">
      <c r="A908" s="27"/>
      <c r="B908" s="27"/>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c r="AA908" s="28"/>
      <c r="AB908" s="28"/>
    </row>
    <row r="909" spans="1:28" ht="15.75" customHeight="1" x14ac:dyDescent="0.2">
      <c r="A909" s="27"/>
      <c r="B909" s="27"/>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c r="AA909" s="28"/>
      <c r="AB909" s="28"/>
    </row>
    <row r="910" spans="1:28" ht="15.75" customHeight="1" x14ac:dyDescent="0.2">
      <c r="A910" s="27"/>
      <c r="B910" s="27"/>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c r="AA910" s="28"/>
      <c r="AB910" s="28"/>
    </row>
    <row r="911" spans="1:28" ht="15.75" customHeight="1" x14ac:dyDescent="0.2">
      <c r="A911" s="27"/>
      <c r="B911" s="27"/>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c r="AA911" s="28"/>
      <c r="AB911" s="28"/>
    </row>
    <row r="912" spans="1:28" ht="15.75" customHeight="1" x14ac:dyDescent="0.2">
      <c r="A912" s="27"/>
      <c r="B912" s="27"/>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c r="AA912" s="28"/>
      <c r="AB912" s="28"/>
    </row>
    <row r="913" spans="1:28" ht="15.75" customHeight="1" x14ac:dyDescent="0.2">
      <c r="A913" s="27"/>
      <c r="B913" s="27"/>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c r="AA913" s="28"/>
      <c r="AB913" s="28"/>
    </row>
    <row r="914" spans="1:28" ht="15.75" customHeight="1" x14ac:dyDescent="0.2">
      <c r="A914" s="27"/>
      <c r="B914" s="27"/>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c r="AA914" s="28"/>
      <c r="AB914" s="28"/>
    </row>
    <row r="915" spans="1:28" ht="15.75" customHeight="1" x14ac:dyDescent="0.2">
      <c r="A915" s="27"/>
      <c r="B915" s="27"/>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c r="AA915" s="28"/>
      <c r="AB915" s="28"/>
    </row>
    <row r="916" spans="1:28" ht="15.75" customHeight="1" x14ac:dyDescent="0.2">
      <c r="A916" s="27"/>
      <c r="B916" s="27"/>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c r="AA916" s="28"/>
      <c r="AB916" s="28"/>
    </row>
    <row r="917" spans="1:28" ht="15.75" customHeight="1" x14ac:dyDescent="0.2">
      <c r="A917" s="27"/>
      <c r="B917" s="27"/>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c r="AA917" s="28"/>
      <c r="AB917" s="28"/>
    </row>
    <row r="918" spans="1:28" ht="15.75" customHeight="1" x14ac:dyDescent="0.2">
      <c r="A918" s="27"/>
      <c r="B918" s="27"/>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c r="AA918" s="28"/>
      <c r="AB918" s="28"/>
    </row>
    <row r="919" spans="1:28" ht="15.75" customHeight="1" x14ac:dyDescent="0.2">
      <c r="A919" s="27"/>
      <c r="B919" s="27"/>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c r="AA919" s="28"/>
      <c r="AB919" s="28"/>
    </row>
    <row r="920" spans="1:28" ht="15.75" customHeight="1" x14ac:dyDescent="0.2">
      <c r="A920" s="27"/>
      <c r="B920" s="27"/>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c r="AA920" s="28"/>
      <c r="AB920" s="28"/>
    </row>
    <row r="921" spans="1:28" ht="15.75" customHeight="1" x14ac:dyDescent="0.2">
      <c r="A921" s="27"/>
      <c r="B921" s="27"/>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c r="AA921" s="28"/>
      <c r="AB921" s="28"/>
    </row>
    <row r="922" spans="1:28" ht="15.75" customHeight="1" x14ac:dyDescent="0.2">
      <c r="A922" s="27"/>
      <c r="B922" s="27"/>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c r="AA922" s="28"/>
      <c r="AB922" s="28"/>
    </row>
    <row r="923" spans="1:28" ht="15.75" customHeight="1" x14ac:dyDescent="0.2">
      <c r="A923" s="27"/>
      <c r="B923" s="27"/>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c r="AA923" s="28"/>
      <c r="AB923" s="28"/>
    </row>
    <row r="924" spans="1:28" ht="15.75" customHeight="1" x14ac:dyDescent="0.2">
      <c r="A924" s="27"/>
      <c r="B924" s="27"/>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c r="AA924" s="28"/>
      <c r="AB924" s="28"/>
    </row>
    <row r="925" spans="1:28" ht="15.75" customHeight="1" x14ac:dyDescent="0.2">
      <c r="A925" s="27"/>
      <c r="B925" s="27"/>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c r="AA925" s="28"/>
      <c r="AB925" s="28"/>
    </row>
    <row r="926" spans="1:28" ht="15.75" customHeight="1" x14ac:dyDescent="0.2">
      <c r="A926" s="27"/>
      <c r="B926" s="27"/>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c r="AA926" s="28"/>
      <c r="AB926" s="28"/>
    </row>
    <row r="927" spans="1:28" ht="15.75" customHeight="1" x14ac:dyDescent="0.2">
      <c r="A927" s="27"/>
      <c r="B927" s="27"/>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c r="AA927" s="28"/>
      <c r="AB927" s="28"/>
    </row>
    <row r="928" spans="1:28" ht="15.75" customHeight="1" x14ac:dyDescent="0.2">
      <c r="A928" s="27"/>
      <c r="B928" s="27"/>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c r="AA928" s="28"/>
      <c r="AB928" s="28"/>
    </row>
    <row r="929" spans="1:28" ht="15.75" customHeight="1" x14ac:dyDescent="0.2">
      <c r="A929" s="27"/>
      <c r="B929" s="27"/>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c r="AA929" s="28"/>
      <c r="AB929" s="28"/>
    </row>
    <row r="930" spans="1:28" ht="15.75" customHeight="1" x14ac:dyDescent="0.2">
      <c r="A930" s="27"/>
      <c r="B930" s="27"/>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c r="AA930" s="28"/>
      <c r="AB930" s="28"/>
    </row>
    <row r="931" spans="1:28" ht="15.75" customHeight="1" x14ac:dyDescent="0.2">
      <c r="A931" s="27"/>
      <c r="B931" s="27"/>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c r="AA931" s="28"/>
      <c r="AB931" s="28"/>
    </row>
    <row r="932" spans="1:28" ht="15.75" customHeight="1" x14ac:dyDescent="0.2">
      <c r="A932" s="27"/>
      <c r="B932" s="27"/>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c r="AA932" s="28"/>
      <c r="AB932" s="28"/>
    </row>
    <row r="933" spans="1:28" ht="15.75" customHeight="1" x14ac:dyDescent="0.2">
      <c r="A933" s="27"/>
      <c r="B933" s="27"/>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c r="AA933" s="28"/>
      <c r="AB933" s="28"/>
    </row>
    <row r="934" spans="1:28" ht="15.75" customHeight="1" x14ac:dyDescent="0.2">
      <c r="A934" s="27"/>
      <c r="B934" s="27"/>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c r="AA934" s="28"/>
      <c r="AB934" s="28"/>
    </row>
    <row r="935" spans="1:28" ht="15.75" customHeight="1" x14ac:dyDescent="0.2">
      <c r="A935" s="27"/>
      <c r="B935" s="27"/>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c r="AA935" s="28"/>
      <c r="AB935" s="28"/>
    </row>
    <row r="936" spans="1:28" ht="15.75" customHeight="1" x14ac:dyDescent="0.2">
      <c r="A936" s="27"/>
      <c r="B936" s="27"/>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c r="AA936" s="28"/>
      <c r="AB936" s="28"/>
    </row>
    <row r="937" spans="1:28" ht="15.75" customHeight="1" x14ac:dyDescent="0.2">
      <c r="A937" s="27"/>
      <c r="B937" s="27"/>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c r="AA937" s="28"/>
      <c r="AB937" s="28"/>
    </row>
    <row r="938" spans="1:28" ht="15.75" customHeight="1" x14ac:dyDescent="0.2">
      <c r="A938" s="27"/>
      <c r="B938" s="27"/>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c r="AA938" s="28"/>
      <c r="AB938" s="28"/>
    </row>
    <row r="939" spans="1:28" ht="15.75" customHeight="1" x14ac:dyDescent="0.2">
      <c r="A939" s="27"/>
      <c r="B939" s="27"/>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c r="AA939" s="28"/>
      <c r="AB939" s="28"/>
    </row>
    <row r="940" spans="1:28" ht="15.75" customHeight="1" x14ac:dyDescent="0.2">
      <c r="A940" s="27"/>
      <c r="B940" s="27"/>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c r="AA940" s="28"/>
      <c r="AB940" s="28"/>
    </row>
    <row r="941" spans="1:28" ht="15.75" customHeight="1" x14ac:dyDescent="0.2">
      <c r="A941" s="27"/>
      <c r="B941" s="27"/>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c r="AA941" s="28"/>
      <c r="AB941" s="28"/>
    </row>
    <row r="942" spans="1:28" ht="15.75" customHeight="1" x14ac:dyDescent="0.2">
      <c r="A942" s="27"/>
      <c r="B942" s="27"/>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c r="AA942" s="28"/>
      <c r="AB942" s="28"/>
    </row>
    <row r="943" spans="1:28" ht="15.75" customHeight="1" x14ac:dyDescent="0.2">
      <c r="A943" s="27"/>
      <c r="B943" s="27"/>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c r="AA943" s="28"/>
      <c r="AB943" s="28"/>
    </row>
    <row r="944" spans="1:28" ht="15.75" customHeight="1" x14ac:dyDescent="0.2">
      <c r="A944" s="27"/>
      <c r="B944" s="27"/>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c r="AA944" s="28"/>
      <c r="AB944" s="28"/>
    </row>
    <row r="945" spans="1:28" ht="15.75" customHeight="1" x14ac:dyDescent="0.2">
      <c r="A945" s="27"/>
      <c r="B945" s="27"/>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c r="AA945" s="28"/>
      <c r="AB945" s="28"/>
    </row>
    <row r="946" spans="1:28" ht="15.75" customHeight="1" x14ac:dyDescent="0.2">
      <c r="A946" s="27"/>
      <c r="B946" s="27"/>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c r="AA946" s="28"/>
      <c r="AB946" s="28"/>
    </row>
    <row r="947" spans="1:28" ht="15.75" customHeight="1" x14ac:dyDescent="0.2">
      <c r="A947" s="27"/>
      <c r="B947" s="27"/>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c r="AA947" s="28"/>
      <c r="AB947" s="28"/>
    </row>
    <row r="948" spans="1:28" ht="15.75" customHeight="1" x14ac:dyDescent="0.2">
      <c r="A948" s="27"/>
      <c r="B948" s="27"/>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c r="AA948" s="28"/>
      <c r="AB948" s="28"/>
    </row>
    <row r="949" spans="1:28" ht="15.75" customHeight="1" x14ac:dyDescent="0.2">
      <c r="A949" s="27"/>
      <c r="B949" s="27"/>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c r="AA949" s="28"/>
      <c r="AB949" s="28"/>
    </row>
    <row r="950" spans="1:28" ht="15.75" customHeight="1" x14ac:dyDescent="0.2">
      <c r="A950" s="27"/>
      <c r="B950" s="27"/>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c r="AA950" s="28"/>
      <c r="AB950" s="28"/>
    </row>
    <row r="951" spans="1:28" ht="15.75" customHeight="1" x14ac:dyDescent="0.2">
      <c r="A951" s="27"/>
      <c r="B951" s="27"/>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c r="AA951" s="28"/>
      <c r="AB951" s="28"/>
    </row>
    <row r="952" spans="1:28" ht="15.75" customHeight="1" x14ac:dyDescent="0.2">
      <c r="A952" s="27"/>
      <c r="B952" s="27"/>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c r="AA952" s="28"/>
      <c r="AB952" s="28"/>
    </row>
    <row r="953" spans="1:28" ht="15.75" customHeight="1" x14ac:dyDescent="0.2">
      <c r="A953" s="27"/>
      <c r="B953" s="27"/>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c r="AA953" s="28"/>
      <c r="AB953" s="28"/>
    </row>
    <row r="954" spans="1:28" ht="15.75" customHeight="1" x14ac:dyDescent="0.2">
      <c r="A954" s="27"/>
      <c r="B954" s="27"/>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c r="AA954" s="28"/>
      <c r="AB954" s="28"/>
    </row>
    <row r="955" spans="1:28" ht="15.75" customHeight="1" x14ac:dyDescent="0.2">
      <c r="A955" s="27"/>
      <c r="B955" s="27"/>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c r="AA955" s="28"/>
      <c r="AB955" s="28"/>
    </row>
    <row r="956" spans="1:28" ht="15.75" customHeight="1" x14ac:dyDescent="0.2">
      <c r="A956" s="27"/>
      <c r="B956" s="27"/>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c r="AA956" s="28"/>
      <c r="AB956" s="28"/>
    </row>
    <row r="957" spans="1:28" ht="15.75" customHeight="1" x14ac:dyDescent="0.2">
      <c r="A957" s="27"/>
      <c r="B957" s="27"/>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c r="AA957" s="28"/>
      <c r="AB957" s="28"/>
    </row>
    <row r="958" spans="1:28" ht="15.75" customHeight="1" x14ac:dyDescent="0.2">
      <c r="A958" s="27"/>
      <c r="B958" s="27"/>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c r="AA958" s="28"/>
      <c r="AB958" s="28"/>
    </row>
    <row r="959" spans="1:28" ht="15.75" customHeight="1" x14ac:dyDescent="0.2">
      <c r="A959" s="27"/>
      <c r="B959" s="27"/>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c r="AA959" s="28"/>
      <c r="AB959" s="28"/>
    </row>
    <row r="960" spans="1:28" ht="15.75" customHeight="1" x14ac:dyDescent="0.2">
      <c r="A960" s="27"/>
      <c r="B960" s="27"/>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c r="AA960" s="28"/>
      <c r="AB960" s="28"/>
    </row>
    <row r="961" spans="1:28" ht="15.75" customHeight="1" x14ac:dyDescent="0.2">
      <c r="A961" s="27"/>
      <c r="B961" s="27"/>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c r="AA961" s="28"/>
      <c r="AB961" s="28"/>
    </row>
    <row r="962" spans="1:28" ht="15.75" customHeight="1" x14ac:dyDescent="0.2">
      <c r="A962" s="27"/>
      <c r="B962" s="27"/>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c r="AA962" s="28"/>
      <c r="AB962" s="28"/>
    </row>
    <row r="963" spans="1:28" ht="15.75" customHeight="1" x14ac:dyDescent="0.2">
      <c r="A963" s="27"/>
      <c r="B963" s="27"/>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c r="AA963" s="28"/>
      <c r="AB963" s="28"/>
    </row>
    <row r="964" spans="1:28" ht="15.75" customHeight="1" x14ac:dyDescent="0.2">
      <c r="A964" s="27"/>
      <c r="B964" s="27"/>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c r="AA964" s="28"/>
      <c r="AB964" s="28"/>
    </row>
    <row r="965" spans="1:28" ht="15.75" customHeight="1" x14ac:dyDescent="0.2">
      <c r="A965" s="27"/>
      <c r="B965" s="27"/>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c r="AA965" s="28"/>
      <c r="AB965" s="28"/>
    </row>
    <row r="966" spans="1:28" ht="15.75" customHeight="1" x14ac:dyDescent="0.2">
      <c r="A966" s="27"/>
      <c r="B966" s="27"/>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c r="AA966" s="28"/>
      <c r="AB966" s="28"/>
    </row>
    <row r="967" spans="1:28" ht="15.75" customHeight="1" x14ac:dyDescent="0.2">
      <c r="A967" s="27"/>
      <c r="B967" s="27"/>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c r="AA967" s="28"/>
      <c r="AB967" s="28"/>
    </row>
    <row r="968" spans="1:28" ht="15.75" customHeight="1" x14ac:dyDescent="0.2">
      <c r="A968" s="27"/>
      <c r="B968" s="27"/>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c r="AA968" s="28"/>
      <c r="AB968" s="28"/>
    </row>
    <row r="969" spans="1:28" ht="15.75" customHeight="1" x14ac:dyDescent="0.2">
      <c r="A969" s="27"/>
      <c r="B969" s="27"/>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c r="AA969" s="28"/>
      <c r="AB969" s="28"/>
    </row>
    <row r="970" spans="1:28" ht="15.75" customHeight="1" x14ac:dyDescent="0.2">
      <c r="A970" s="27"/>
      <c r="B970" s="27"/>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c r="AA970" s="28"/>
      <c r="AB970" s="28"/>
    </row>
    <row r="971" spans="1:28" ht="15.75" customHeight="1" x14ac:dyDescent="0.2">
      <c r="A971" s="27"/>
      <c r="B971" s="27"/>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c r="AA971" s="28"/>
      <c r="AB971" s="28"/>
    </row>
    <row r="972" spans="1:28" ht="15.75" customHeight="1" x14ac:dyDescent="0.2">
      <c r="A972" s="27"/>
      <c r="B972" s="27"/>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c r="AA972" s="28"/>
      <c r="AB972" s="28"/>
    </row>
    <row r="973" spans="1:28" ht="15.75" customHeight="1" x14ac:dyDescent="0.2">
      <c r="A973" s="27"/>
      <c r="B973" s="27"/>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c r="AA973" s="28"/>
      <c r="AB973" s="28"/>
    </row>
    <row r="974" spans="1:28" ht="15.75" customHeight="1" x14ac:dyDescent="0.2">
      <c r="A974" s="27"/>
      <c r="B974" s="27"/>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c r="AA974" s="28"/>
      <c r="AB974" s="28"/>
    </row>
    <row r="975" spans="1:28" ht="15.75" customHeight="1" x14ac:dyDescent="0.2">
      <c r="A975" s="27"/>
      <c r="B975" s="27"/>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c r="AA975" s="28"/>
      <c r="AB975" s="28"/>
    </row>
    <row r="976" spans="1:28" ht="15.75" customHeight="1" x14ac:dyDescent="0.2">
      <c r="A976" s="27"/>
      <c r="B976" s="27"/>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c r="AA976" s="28"/>
      <c r="AB976" s="28"/>
    </row>
    <row r="977" spans="1:28" ht="15.75" customHeight="1" x14ac:dyDescent="0.2">
      <c r="A977" s="27"/>
      <c r="B977" s="27"/>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c r="AA977" s="28"/>
      <c r="AB977" s="28"/>
    </row>
    <row r="978" spans="1:28" ht="15.75" customHeight="1" x14ac:dyDescent="0.2">
      <c r="A978" s="27"/>
      <c r="B978" s="27"/>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c r="AA978" s="28"/>
      <c r="AB978" s="28"/>
    </row>
    <row r="979" spans="1:28" ht="15.75" customHeight="1" x14ac:dyDescent="0.2">
      <c r="A979" s="27"/>
      <c r="B979" s="27"/>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c r="AA979" s="28"/>
      <c r="AB979" s="28"/>
    </row>
    <row r="980" spans="1:28" ht="15.75" customHeight="1" x14ac:dyDescent="0.2">
      <c r="A980" s="27"/>
      <c r="B980" s="27"/>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c r="AA980" s="28"/>
      <c r="AB980" s="28"/>
    </row>
    <row r="981" spans="1:28" ht="15.75" customHeight="1" x14ac:dyDescent="0.2">
      <c r="A981" s="27"/>
      <c r="B981" s="27"/>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c r="AA981" s="28"/>
      <c r="AB981" s="28"/>
    </row>
    <row r="982" spans="1:28" ht="15.75" customHeight="1" x14ac:dyDescent="0.2">
      <c r="A982" s="27"/>
      <c r="B982" s="27"/>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c r="AA982" s="28"/>
      <c r="AB982" s="28"/>
    </row>
    <row r="983" spans="1:28" ht="15.75" customHeight="1" x14ac:dyDescent="0.2">
      <c r="A983" s="27"/>
      <c r="B983" s="27"/>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c r="AA983" s="28"/>
      <c r="AB983" s="28"/>
    </row>
    <row r="984" spans="1:28" ht="15.75" customHeight="1" x14ac:dyDescent="0.2">
      <c r="A984" s="27"/>
      <c r="B984" s="27"/>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c r="AA984" s="28"/>
      <c r="AB984" s="28"/>
    </row>
    <row r="985" spans="1:28" ht="15.75" customHeight="1" x14ac:dyDescent="0.2">
      <c r="A985" s="27"/>
      <c r="B985" s="27"/>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c r="AA985" s="28"/>
      <c r="AB985" s="28"/>
    </row>
    <row r="986" spans="1:28" ht="15.75" customHeight="1" x14ac:dyDescent="0.2">
      <c r="A986" s="27"/>
      <c r="B986" s="27"/>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c r="AA986" s="28"/>
      <c r="AB986" s="28"/>
    </row>
    <row r="987" spans="1:28" ht="15.75" customHeight="1" x14ac:dyDescent="0.2">
      <c r="A987" s="27"/>
      <c r="B987" s="27"/>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c r="AA987" s="28"/>
      <c r="AB987" s="28"/>
    </row>
    <row r="988" spans="1:28" ht="15.75" customHeight="1" x14ac:dyDescent="0.2">
      <c r="A988" s="27"/>
      <c r="B988" s="27"/>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c r="AA988" s="28"/>
      <c r="AB988" s="28"/>
    </row>
    <row r="989" spans="1:28" ht="15.75" customHeight="1" x14ac:dyDescent="0.2">
      <c r="A989" s="27"/>
      <c r="B989" s="27"/>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c r="AA989" s="28"/>
      <c r="AB989" s="28"/>
    </row>
    <row r="990" spans="1:28" ht="15.75" customHeight="1" x14ac:dyDescent="0.2">
      <c r="A990" s="27"/>
      <c r="B990" s="27"/>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c r="AA990" s="28"/>
      <c r="AB990" s="28"/>
    </row>
    <row r="991" spans="1:28" ht="15.75" customHeight="1" x14ac:dyDescent="0.2">
      <c r="A991" s="27"/>
      <c r="B991" s="27"/>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c r="AA991" s="28"/>
      <c r="AB991" s="28"/>
    </row>
    <row r="992" spans="1:28" ht="15.75" customHeight="1" x14ac:dyDescent="0.2">
      <c r="A992" s="27"/>
      <c r="B992" s="27"/>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c r="AA992" s="28"/>
      <c r="AB992" s="28"/>
    </row>
    <row r="993" spans="1:28" ht="15.75" customHeight="1" x14ac:dyDescent="0.2">
      <c r="A993" s="27"/>
      <c r="B993" s="27"/>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c r="AA993" s="28"/>
      <c r="AB993" s="28"/>
    </row>
    <row r="994" spans="1:28" ht="15.75" customHeight="1" x14ac:dyDescent="0.2">
      <c r="A994" s="27"/>
      <c r="B994" s="27"/>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c r="AA994" s="28"/>
      <c r="AB994" s="28"/>
    </row>
    <row r="995" spans="1:28" ht="15.75" customHeight="1" x14ac:dyDescent="0.2">
      <c r="A995" s="27"/>
      <c r="B995" s="27"/>
      <c r="C995" s="27"/>
      <c r="D995" s="27"/>
      <c r="E995" s="27"/>
      <c r="F995" s="27"/>
      <c r="G995" s="27"/>
      <c r="H995" s="28"/>
      <c r="I995" s="28"/>
      <c r="J995" s="28"/>
      <c r="K995" s="28"/>
      <c r="L995" s="28"/>
      <c r="M995" s="28"/>
      <c r="N995" s="28"/>
      <c r="O995" s="28"/>
      <c r="P995" s="28"/>
      <c r="Q995" s="28"/>
      <c r="R995" s="28"/>
      <c r="S995" s="28"/>
      <c r="T995" s="28"/>
      <c r="U995" s="28"/>
      <c r="V995" s="28"/>
      <c r="W995" s="28"/>
      <c r="X995" s="28"/>
      <c r="Y995" s="28"/>
      <c r="Z995" s="28"/>
      <c r="AA995" s="28"/>
      <c r="AB995" s="28"/>
    </row>
    <row r="996" spans="1:28" ht="15.75" customHeight="1" x14ac:dyDescent="0.2">
      <c r="A996" s="27"/>
      <c r="B996" s="27"/>
      <c r="C996" s="27"/>
      <c r="D996" s="27"/>
      <c r="E996" s="27"/>
      <c r="F996" s="27"/>
      <c r="G996" s="27"/>
      <c r="H996" s="28"/>
      <c r="I996" s="28"/>
      <c r="J996" s="28"/>
      <c r="K996" s="28"/>
      <c r="L996" s="28"/>
      <c r="M996" s="28"/>
      <c r="N996" s="28"/>
      <c r="O996" s="28"/>
      <c r="P996" s="28"/>
      <c r="Q996" s="28"/>
      <c r="R996" s="28"/>
      <c r="S996" s="28"/>
      <c r="T996" s="28"/>
      <c r="U996" s="28"/>
      <c r="V996" s="28"/>
      <c r="W996" s="28"/>
      <c r="X996" s="28"/>
      <c r="Y996" s="28"/>
      <c r="Z996" s="28"/>
      <c r="AA996" s="28"/>
      <c r="AB996" s="28"/>
    </row>
    <row r="997" spans="1:28" ht="15.75" customHeight="1" x14ac:dyDescent="0.2">
      <c r="A997" s="27"/>
      <c r="B997" s="27"/>
      <c r="C997" s="27"/>
      <c r="D997" s="27"/>
      <c r="E997" s="27"/>
      <c r="F997" s="27"/>
      <c r="G997" s="27"/>
      <c r="H997" s="28"/>
      <c r="I997" s="28"/>
      <c r="J997" s="28"/>
      <c r="K997" s="28"/>
      <c r="L997" s="28"/>
      <c r="M997" s="28"/>
      <c r="N997" s="28"/>
      <c r="O997" s="28"/>
      <c r="P997" s="28"/>
      <c r="Q997" s="28"/>
      <c r="R997" s="28"/>
      <c r="S997" s="28"/>
      <c r="T997" s="28"/>
      <c r="U997" s="28"/>
      <c r="V997" s="28"/>
      <c r="W997" s="28"/>
      <c r="X997" s="28"/>
      <c r="Y997" s="28"/>
      <c r="Z997" s="28"/>
      <c r="AA997" s="28"/>
      <c r="AB997" s="28"/>
    </row>
    <row r="998" spans="1:28" ht="15.75" customHeight="1" x14ac:dyDescent="0.2">
      <c r="A998" s="27"/>
      <c r="B998" s="27"/>
      <c r="C998" s="27"/>
      <c r="D998" s="27"/>
      <c r="E998" s="27"/>
      <c r="F998" s="27"/>
      <c r="G998" s="27"/>
      <c r="H998" s="28"/>
      <c r="I998" s="28"/>
      <c r="J998" s="28"/>
      <c r="K998" s="28"/>
      <c r="L998" s="28"/>
      <c r="M998" s="28"/>
      <c r="N998" s="28"/>
      <c r="O998" s="28"/>
      <c r="P998" s="28"/>
      <c r="Q998" s="28"/>
      <c r="R998" s="28"/>
      <c r="S998" s="28"/>
      <c r="T998" s="28"/>
      <c r="U998" s="28"/>
      <c r="V998" s="28"/>
      <c r="W998" s="28"/>
      <c r="X998" s="28"/>
      <c r="Y998" s="28"/>
      <c r="Z998" s="28"/>
      <c r="AA998" s="28"/>
      <c r="AB998" s="28"/>
    </row>
    <row r="999" spans="1:28" ht="15.75" customHeight="1" x14ac:dyDescent="0.2">
      <c r="A999" s="27"/>
      <c r="B999" s="27"/>
      <c r="C999" s="27"/>
      <c r="D999" s="27"/>
      <c r="E999" s="27"/>
      <c r="F999" s="27"/>
      <c r="G999" s="27"/>
      <c r="H999" s="28"/>
      <c r="I999" s="28"/>
      <c r="J999" s="28"/>
      <c r="K999" s="28"/>
      <c r="L999" s="28"/>
      <c r="M999" s="28"/>
      <c r="N999" s="28"/>
      <c r="O999" s="28"/>
      <c r="P999" s="28"/>
      <c r="Q999" s="28"/>
      <c r="R999" s="28"/>
      <c r="S999" s="28"/>
      <c r="T999" s="28"/>
      <c r="U999" s="28"/>
      <c r="V999" s="28"/>
      <c r="W999" s="28"/>
      <c r="X999" s="28"/>
      <c r="Y999" s="28"/>
      <c r="Z999" s="28"/>
      <c r="AA999" s="28"/>
      <c r="AB999" s="28"/>
    </row>
    <row r="1000" spans="1:28" ht="15.75" customHeight="1" x14ac:dyDescent="0.2">
      <c r="A1000" s="27"/>
      <c r="B1000" s="27"/>
      <c r="C1000" s="27"/>
      <c r="D1000" s="27"/>
      <c r="E1000" s="27"/>
      <c r="F1000" s="27"/>
      <c r="G1000" s="27"/>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spans="1:28" ht="15.75" customHeight="1" x14ac:dyDescent="0.2">
      <c r="A1001" s="27"/>
      <c r="B1001" s="27"/>
      <c r="C1001" s="27"/>
      <c r="D1001" s="27"/>
      <c r="E1001" s="27"/>
      <c r="F1001" s="27"/>
      <c r="G1001" s="27"/>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spans="1:28" ht="15.75" customHeight="1" x14ac:dyDescent="0.2">
      <c r="A1002" s="27"/>
      <c r="B1002" s="27"/>
      <c r="C1002" s="27"/>
      <c r="D1002" s="27"/>
      <c r="E1002" s="27"/>
      <c r="F1002" s="27"/>
      <c r="G1002" s="27"/>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spans="1:28" ht="15.75" customHeight="1" x14ac:dyDescent="0.2">
      <c r="A1003" s="27"/>
      <c r="B1003" s="27"/>
      <c r="C1003" s="27"/>
      <c r="D1003" s="27"/>
      <c r="E1003" s="27"/>
      <c r="F1003" s="27"/>
      <c r="G1003" s="27"/>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row r="1004" spans="1:28" ht="15.75" customHeight="1" x14ac:dyDescent="0.2">
      <c r="A1004" s="27"/>
      <c r="B1004" s="27"/>
      <c r="C1004" s="27"/>
      <c r="D1004" s="27"/>
      <c r="E1004" s="27"/>
      <c r="F1004" s="27"/>
      <c r="G1004" s="27"/>
      <c r="H1004" s="28"/>
      <c r="I1004" s="28"/>
      <c r="J1004" s="28"/>
      <c r="K1004" s="28"/>
      <c r="L1004" s="28"/>
      <c r="M1004" s="28"/>
      <c r="N1004" s="28"/>
      <c r="O1004" s="28"/>
      <c r="P1004" s="28"/>
      <c r="Q1004" s="28"/>
      <c r="R1004" s="28"/>
      <c r="S1004" s="28"/>
      <c r="T1004" s="28"/>
      <c r="U1004" s="28"/>
      <c r="V1004" s="28"/>
      <c r="W1004" s="28"/>
      <c r="X1004" s="28"/>
      <c r="Y1004" s="28"/>
      <c r="Z1004" s="28"/>
      <c r="AA1004" s="28"/>
      <c r="AB1004" s="28"/>
    </row>
    <row r="1005" spans="1:28" ht="15.75" customHeight="1" x14ac:dyDescent="0.2">
      <c r="A1005" s="27"/>
      <c r="B1005" s="27"/>
      <c r="C1005" s="27"/>
      <c r="D1005" s="27"/>
      <c r="E1005" s="27"/>
      <c r="F1005" s="27"/>
      <c r="G1005" s="27"/>
      <c r="H1005" s="28"/>
      <c r="I1005" s="28"/>
      <c r="J1005" s="28"/>
      <c r="K1005" s="28"/>
      <c r="L1005" s="28"/>
      <c r="M1005" s="28"/>
      <c r="N1005" s="28"/>
      <c r="O1005" s="28"/>
      <c r="P1005" s="28"/>
      <c r="Q1005" s="28"/>
      <c r="R1005" s="28"/>
      <c r="S1005" s="28"/>
      <c r="T1005" s="28"/>
      <c r="U1005" s="28"/>
      <c r="V1005" s="28"/>
      <c r="W1005" s="28"/>
      <c r="X1005" s="28"/>
      <c r="Y1005" s="28"/>
      <c r="Z1005" s="28"/>
      <c r="AA1005" s="28"/>
      <c r="AB1005" s="28"/>
    </row>
    <row r="1006" spans="1:28" ht="15.75" customHeight="1" x14ac:dyDescent="0.2">
      <c r="A1006" s="27"/>
      <c r="B1006" s="27"/>
      <c r="C1006" s="27"/>
      <c r="D1006" s="27"/>
      <c r="E1006" s="27"/>
      <c r="F1006" s="27"/>
      <c r="G1006" s="27"/>
      <c r="H1006" s="28"/>
      <c r="I1006" s="28"/>
      <c r="J1006" s="28"/>
      <c r="K1006" s="28"/>
      <c r="L1006" s="28"/>
      <c r="M1006" s="28"/>
      <c r="N1006" s="28"/>
      <c r="O1006" s="28"/>
      <c r="P1006" s="28"/>
      <c r="Q1006" s="28"/>
      <c r="R1006" s="28"/>
      <c r="S1006" s="28"/>
      <c r="T1006" s="28"/>
      <c r="U1006" s="28"/>
      <c r="V1006" s="28"/>
      <c r="W1006" s="28"/>
      <c r="X1006" s="28"/>
      <c r="Y1006" s="28"/>
      <c r="Z1006" s="28"/>
      <c r="AA1006" s="28"/>
      <c r="AB1006" s="28"/>
    </row>
    <row r="1007" spans="1:28" ht="15.75" customHeight="1" x14ac:dyDescent="0.2">
      <c r="A1007" s="27"/>
      <c r="B1007" s="27"/>
      <c r="C1007" s="27"/>
      <c r="D1007" s="27"/>
      <c r="E1007" s="27"/>
      <c r="F1007" s="27"/>
      <c r="G1007" s="27"/>
      <c r="H1007" s="28"/>
      <c r="I1007" s="28"/>
      <c r="J1007" s="28"/>
      <c r="K1007" s="28"/>
      <c r="L1007" s="28"/>
      <c r="M1007" s="28"/>
      <c r="N1007" s="28"/>
      <c r="O1007" s="28"/>
      <c r="P1007" s="28"/>
      <c r="Q1007" s="28"/>
      <c r="R1007" s="28"/>
      <c r="S1007" s="28"/>
      <c r="T1007" s="28"/>
      <c r="U1007" s="28"/>
      <c r="V1007" s="28"/>
      <c r="W1007" s="28"/>
      <c r="X1007" s="28"/>
      <c r="Y1007" s="28"/>
      <c r="Z1007" s="28"/>
      <c r="AA1007" s="28"/>
      <c r="AB1007" s="28"/>
    </row>
    <row r="1008" spans="1:28" ht="15.75" customHeight="1" x14ac:dyDescent="0.2">
      <c r="A1008" s="27"/>
      <c r="B1008" s="27"/>
      <c r="C1008" s="27"/>
      <c r="D1008" s="27"/>
      <c r="E1008" s="27"/>
      <c r="F1008" s="27"/>
      <c r="G1008" s="27"/>
      <c r="H1008" s="28"/>
      <c r="I1008" s="28"/>
      <c r="J1008" s="28"/>
      <c r="K1008" s="28"/>
      <c r="L1008" s="28"/>
      <c r="M1008" s="28"/>
      <c r="N1008" s="28"/>
      <c r="O1008" s="28"/>
      <c r="P1008" s="28"/>
      <c r="Q1008" s="28"/>
      <c r="R1008" s="28"/>
      <c r="S1008" s="28"/>
      <c r="T1008" s="28"/>
      <c r="U1008" s="28"/>
      <c r="V1008" s="28"/>
      <c r="W1008" s="28"/>
      <c r="X1008" s="28"/>
      <c r="Y1008" s="28"/>
      <c r="Z1008" s="28"/>
      <c r="AA1008" s="28"/>
      <c r="AB1008" s="28"/>
    </row>
    <row r="1009" spans="1:28" ht="15.75" customHeight="1" x14ac:dyDescent="0.2">
      <c r="A1009" s="27"/>
      <c r="B1009" s="27"/>
      <c r="C1009" s="27"/>
      <c r="D1009" s="27"/>
      <c r="E1009" s="27"/>
      <c r="F1009" s="27"/>
      <c r="G1009" s="27"/>
      <c r="H1009" s="28"/>
      <c r="I1009" s="28"/>
      <c r="J1009" s="28"/>
      <c r="K1009" s="28"/>
      <c r="L1009" s="28"/>
      <c r="M1009" s="28"/>
      <c r="N1009" s="28"/>
      <c r="O1009" s="28"/>
      <c r="P1009" s="28"/>
      <c r="Q1009" s="28"/>
      <c r="R1009" s="28"/>
      <c r="S1009" s="28"/>
      <c r="T1009" s="28"/>
      <c r="U1009" s="28"/>
      <c r="V1009" s="28"/>
      <c r="W1009" s="28"/>
      <c r="X1009" s="28"/>
      <c r="Y1009" s="28"/>
      <c r="Z1009" s="28"/>
      <c r="AA1009" s="28"/>
      <c r="AB1009" s="28"/>
    </row>
    <row r="1010" spans="1:28" ht="15.75" customHeight="1" x14ac:dyDescent="0.2">
      <c r="A1010" s="27"/>
      <c r="B1010" s="27"/>
      <c r="C1010" s="27"/>
      <c r="D1010" s="27"/>
      <c r="E1010" s="27"/>
      <c r="F1010" s="27"/>
      <c r="G1010" s="27"/>
      <c r="H1010" s="28"/>
      <c r="I1010" s="28"/>
      <c r="J1010" s="28"/>
      <c r="K1010" s="28"/>
      <c r="L1010" s="28"/>
      <c r="M1010" s="28"/>
      <c r="N1010" s="28"/>
      <c r="O1010" s="28"/>
      <c r="P1010" s="28"/>
      <c r="Q1010" s="28"/>
      <c r="R1010" s="28"/>
      <c r="S1010" s="28"/>
      <c r="T1010" s="28"/>
      <c r="U1010" s="28"/>
      <c r="V1010" s="28"/>
      <c r="W1010" s="28"/>
      <c r="X1010" s="28"/>
      <c r="Y1010" s="28"/>
      <c r="Z1010" s="28"/>
      <c r="AA1010" s="28"/>
      <c r="AB1010" s="28"/>
    </row>
    <row r="1011" spans="1:28" ht="15.75" customHeight="1" x14ac:dyDescent="0.2">
      <c r="A1011" s="27"/>
      <c r="B1011" s="27"/>
      <c r="C1011" s="27"/>
      <c r="D1011" s="27"/>
      <c r="E1011" s="27"/>
      <c r="F1011" s="27"/>
      <c r="G1011" s="27"/>
      <c r="H1011" s="28"/>
      <c r="I1011" s="28"/>
      <c r="J1011" s="28"/>
      <c r="K1011" s="28"/>
      <c r="L1011" s="28"/>
      <c r="M1011" s="28"/>
      <c r="N1011" s="28"/>
      <c r="O1011" s="28"/>
      <c r="P1011" s="28"/>
      <c r="Q1011" s="28"/>
      <c r="R1011" s="28"/>
      <c r="S1011" s="28"/>
      <c r="T1011" s="28"/>
      <c r="U1011" s="28"/>
      <c r="V1011" s="28"/>
      <c r="W1011" s="28"/>
      <c r="X1011" s="28"/>
      <c r="Y1011" s="28"/>
      <c r="Z1011" s="28"/>
      <c r="AA1011" s="28"/>
      <c r="AB1011" s="28"/>
    </row>
    <row r="1012" spans="1:28" ht="15.75" customHeight="1" x14ac:dyDescent="0.2">
      <c r="A1012" s="27"/>
      <c r="B1012" s="27"/>
      <c r="C1012" s="27"/>
      <c r="D1012" s="27"/>
      <c r="E1012" s="27"/>
      <c r="F1012" s="27"/>
      <c r="G1012" s="27"/>
      <c r="H1012" s="28"/>
      <c r="I1012" s="28"/>
      <c r="J1012" s="28"/>
      <c r="K1012" s="28"/>
      <c r="L1012" s="28"/>
      <c r="M1012" s="28"/>
      <c r="N1012" s="28"/>
      <c r="O1012" s="28"/>
      <c r="P1012" s="28"/>
      <c r="Q1012" s="28"/>
      <c r="R1012" s="28"/>
      <c r="S1012" s="28"/>
      <c r="T1012" s="28"/>
      <c r="U1012" s="28"/>
      <c r="V1012" s="28"/>
      <c r="W1012" s="28"/>
      <c r="X1012" s="28"/>
      <c r="Y1012" s="28"/>
      <c r="Z1012" s="28"/>
      <c r="AA1012" s="28"/>
      <c r="AB1012" s="28"/>
    </row>
    <row r="1013" spans="1:28" ht="15.75" customHeight="1" x14ac:dyDescent="0.2">
      <c r="A1013" s="27"/>
      <c r="B1013" s="27"/>
      <c r="C1013" s="27"/>
      <c r="D1013" s="27"/>
      <c r="E1013" s="27"/>
      <c r="F1013" s="27"/>
      <c r="G1013" s="27"/>
      <c r="H1013" s="28"/>
      <c r="I1013" s="28"/>
      <c r="J1013" s="28"/>
      <c r="K1013" s="28"/>
      <c r="L1013" s="28"/>
      <c r="M1013" s="28"/>
      <c r="N1013" s="28"/>
      <c r="O1013" s="28"/>
      <c r="P1013" s="28"/>
      <c r="Q1013" s="28"/>
      <c r="R1013" s="28"/>
      <c r="S1013" s="28"/>
      <c r="T1013" s="28"/>
      <c r="U1013" s="28"/>
      <c r="V1013" s="28"/>
      <c r="W1013" s="28"/>
      <c r="X1013" s="28"/>
      <c r="Y1013" s="28"/>
      <c r="Z1013" s="28"/>
      <c r="AA1013" s="28"/>
      <c r="AB1013" s="28"/>
    </row>
    <row r="1014" spans="1:28" ht="15.75" customHeight="1" x14ac:dyDescent="0.2">
      <c r="A1014" s="27"/>
      <c r="B1014" s="27"/>
      <c r="C1014" s="27"/>
      <c r="D1014" s="27"/>
      <c r="E1014" s="27"/>
      <c r="F1014" s="27"/>
      <c r="G1014" s="27"/>
      <c r="H1014" s="28"/>
      <c r="I1014" s="28"/>
      <c r="J1014" s="28"/>
      <c r="K1014" s="28"/>
      <c r="L1014" s="28"/>
      <c r="M1014" s="28"/>
      <c r="N1014" s="28"/>
      <c r="O1014" s="28"/>
      <c r="P1014" s="28"/>
      <c r="Q1014" s="28"/>
      <c r="R1014" s="28"/>
      <c r="S1014" s="28"/>
      <c r="T1014" s="28"/>
      <c r="U1014" s="28"/>
      <c r="V1014" s="28"/>
      <c r="W1014" s="28"/>
      <c r="X1014" s="28"/>
      <c r="Y1014" s="28"/>
      <c r="Z1014" s="28"/>
      <c r="AA1014" s="28"/>
      <c r="AB1014" s="28"/>
    </row>
    <row r="1015" spans="1:28" ht="15.75" customHeight="1" x14ac:dyDescent="0.2">
      <c r="A1015" s="27"/>
      <c r="B1015" s="27"/>
      <c r="C1015" s="27"/>
      <c r="D1015" s="27"/>
      <c r="E1015" s="27"/>
      <c r="F1015" s="27"/>
      <c r="G1015" s="27"/>
      <c r="H1015" s="28"/>
      <c r="I1015" s="28"/>
      <c r="J1015" s="28"/>
      <c r="K1015" s="28"/>
      <c r="L1015" s="28"/>
      <c r="M1015" s="28"/>
      <c r="N1015" s="28"/>
      <c r="O1015" s="28"/>
      <c r="P1015" s="28"/>
      <c r="Q1015" s="28"/>
      <c r="R1015" s="28"/>
      <c r="S1015" s="28"/>
      <c r="T1015" s="28"/>
      <c r="U1015" s="28"/>
      <c r="V1015" s="28"/>
      <c r="W1015" s="28"/>
      <c r="X1015" s="28"/>
      <c r="Y1015" s="28"/>
      <c r="Z1015" s="28"/>
      <c r="AA1015" s="28"/>
      <c r="AB1015" s="28"/>
    </row>
    <row r="1016" spans="1:28" ht="15.75" customHeight="1" x14ac:dyDescent="0.2">
      <c r="A1016" s="27"/>
      <c r="B1016" s="27"/>
      <c r="C1016" s="27"/>
      <c r="D1016" s="27"/>
      <c r="E1016" s="27"/>
      <c r="F1016" s="27"/>
      <c r="G1016" s="27"/>
      <c r="H1016" s="28"/>
      <c r="I1016" s="28"/>
      <c r="J1016" s="28"/>
      <c r="K1016" s="28"/>
      <c r="L1016" s="28"/>
      <c r="M1016" s="28"/>
      <c r="N1016" s="28"/>
      <c r="O1016" s="28"/>
      <c r="P1016" s="28"/>
      <c r="Q1016" s="28"/>
      <c r="R1016" s="28"/>
      <c r="S1016" s="28"/>
      <c r="T1016" s="28"/>
      <c r="U1016" s="28"/>
      <c r="V1016" s="28"/>
      <c r="W1016" s="28"/>
      <c r="X1016" s="28"/>
      <c r="Y1016" s="28"/>
      <c r="Z1016" s="28"/>
      <c r="AA1016" s="28"/>
      <c r="AB1016" s="28"/>
    </row>
  </sheetData>
  <dataValidations count="1">
    <dataValidation type="list" allowBlank="1" showErrorMessage="1" sqref="N2:N110" xr:uid="{00000000-0002-0000-0000-000000000000}">
      <formula1>"Low,Medium,High,Critical,Major"</formula1>
    </dataValidation>
  </dataValidations>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Chanaka Dinesh</cp:lastModifiedBy>
  <dcterms:modified xsi:type="dcterms:W3CDTF">2026-03-28T11:14:01Z</dcterms:modified>
</cp:coreProperties>
</file>